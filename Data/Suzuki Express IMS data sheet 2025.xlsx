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kb030810\AppData\Local\Microsoft\Windows\INetCache\Content.Outlook\6DPORGWG\"/>
    </mc:Choice>
  </mc:AlternateContent>
  <xr:revisionPtr revIDLastSave="0" documentId="13_ncr:1_{192E6B97-FC30-441D-B76D-2BAB3ADD5548}" xr6:coauthVersionLast="47" xr6:coauthVersionMax="47" xr10:uidLastSave="{00000000-0000-0000-0000-000000000000}"/>
  <bookViews>
    <workbookView xWindow="-108" yWindow="-108" windowWidth="23256" windowHeight="12456" activeTab="3" xr2:uid="{7B87E813-0CE1-4021-B39B-87C1196EDC60}"/>
  </bookViews>
  <sheets>
    <sheet name="Region Conversion Data" sheetId="12" r:id="rId1"/>
    <sheet name="Event Detail" sheetId="7" r:id="rId2"/>
    <sheet name="Free Checkup Summary" sheetId="9" r:id="rId3"/>
    <sheet name="Event Summary" sheetId="10" r:id="rId4"/>
  </sheets>
  <definedNames>
    <definedName name="_xlnm._FilterDatabase" localSheetId="1" hidden="1">'Event Detail'!$A$6:$AN$48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1" i="10" l="1"/>
  <c r="AP32" i="10"/>
  <c r="AP31" i="10"/>
  <c r="AQ24" i="10"/>
  <c r="AQ14" i="10"/>
  <c r="AQ11" i="10"/>
  <c r="AQ8" i="10"/>
  <c r="AP12" i="9" l="1"/>
  <c r="AP10" i="9"/>
  <c r="AP9" i="9"/>
  <c r="AP8" i="9"/>
  <c r="AP7" i="9"/>
  <c r="AP6" i="9"/>
  <c r="AP4" i="9"/>
  <c r="O47" i="7"/>
  <c r="AQ29" i="10"/>
  <c r="AQ20" i="10"/>
  <c r="AQ17" i="10"/>
  <c r="AO13" i="9"/>
  <c r="AN13" i="9" l="1"/>
  <c r="AO32" i="10"/>
  <c r="F47" i="7"/>
  <c r="E47" i="7"/>
  <c r="AM13" i="9"/>
  <c r="AN32" i="10"/>
  <c r="AN31" i="10"/>
  <c r="AL13" i="9" l="1"/>
  <c r="AM32" i="10"/>
  <c r="AM31" i="10"/>
  <c r="AK13" i="9"/>
  <c r="AL32" i="10"/>
  <c r="AL31" i="10"/>
  <c r="AJ13" i="9"/>
  <c r="AK32" i="10"/>
  <c r="AK31" i="10"/>
  <c r="AI13" i="9" l="1"/>
  <c r="AJ32" i="10"/>
  <c r="AJ31" i="10"/>
  <c r="AH13" i="9"/>
  <c r="AI32" i="10"/>
  <c r="AI31" i="10"/>
  <c r="AH32" i="10" l="1"/>
  <c r="AH31" i="10"/>
  <c r="AG13" i="9" l="1"/>
  <c r="AP11" i="9"/>
  <c r="AF13" i="9"/>
  <c r="AG32" i="10"/>
  <c r="AG31" i="10"/>
  <c r="AE13" i="9" l="1"/>
  <c r="AF32" i="10"/>
  <c r="AF31" i="10"/>
  <c r="AD13" i="9"/>
  <c r="AE32" i="10"/>
  <c r="AE31" i="10"/>
  <c r="AC13" i="9"/>
  <c r="AD32" i="10"/>
  <c r="AD31" i="10"/>
  <c r="AB13" i="9"/>
  <c r="AC32" i="10"/>
  <c r="AC31" i="10"/>
  <c r="AA13" i="9" l="1"/>
  <c r="AB32" i="10"/>
  <c r="AB31" i="10"/>
  <c r="AA32" i="10" l="1"/>
  <c r="AA31" i="10"/>
  <c r="Z31" i="10"/>
  <c r="Z13" i="9" l="1"/>
  <c r="AP5" i="9"/>
  <c r="Y13" i="9"/>
  <c r="Z32" i="10"/>
  <c r="AP13" i="9" l="1"/>
  <c r="AQ13" i="9" l="1"/>
  <c r="AQ6" i="9"/>
  <c r="AQ7" i="9"/>
  <c r="AQ4" i="9"/>
  <c r="AQ9" i="9"/>
  <c r="AQ8" i="9"/>
  <c r="AQ12" i="9"/>
  <c r="AQ10" i="9"/>
  <c r="AQ11" i="9"/>
  <c r="AQ5" i="9"/>
  <c r="X13" i="9"/>
  <c r="Y32" i="10"/>
  <c r="Y31" i="10"/>
  <c r="W13" i="9" l="1"/>
  <c r="X32" i="10"/>
  <c r="X31" i="10"/>
  <c r="V13" i="9"/>
  <c r="W32" i="10"/>
  <c r="W31" i="10"/>
  <c r="U13" i="9"/>
  <c r="V32" i="10"/>
  <c r="V31" i="10"/>
  <c r="T13" i="9" l="1"/>
  <c r="U32" i="10"/>
  <c r="U31" i="10"/>
  <c r="S13" i="9"/>
  <c r="T32" i="10"/>
  <c r="T31" i="10"/>
  <c r="Q13" i="9" l="1"/>
  <c r="R13" i="9"/>
  <c r="S32" i="10"/>
  <c r="S31" i="10"/>
  <c r="R32" i="10"/>
  <c r="R31" i="10"/>
  <c r="Q32" i="10" l="1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P13" i="9"/>
  <c r="AQ32" i="10" l="1"/>
  <c r="AQ31" i="10"/>
  <c r="AJ47" i="7"/>
  <c r="W47" i="7"/>
  <c r="U47" i="7"/>
  <c r="J47" i="7"/>
  <c r="O13" i="9" l="1"/>
  <c r="N13" i="9" l="1"/>
  <c r="M13" i="9" l="1"/>
  <c r="L13" i="9" l="1"/>
  <c r="K13" i="9" l="1"/>
  <c r="J13" i="9" l="1"/>
  <c r="I13" i="9" l="1"/>
  <c r="AQ28" i="10" l="1"/>
  <c r="AQ27" i="10"/>
  <c r="AQ19" i="10"/>
  <c r="AQ26" i="10"/>
  <c r="AQ16" i="10"/>
  <c r="AQ25" i="10"/>
  <c r="AQ23" i="10"/>
  <c r="AQ13" i="10"/>
  <c r="AQ10" i="10"/>
  <c r="AQ22" i="10"/>
  <c r="AQ7" i="10"/>
  <c r="H13" i="9" l="1"/>
  <c r="G13" i="9"/>
  <c r="F13" i="9" l="1"/>
  <c r="E13" i="9"/>
  <c r="D13" i="9" l="1"/>
  <c r="C13" i="9" l="1"/>
  <c r="B13" i="9"/>
  <c r="AE47" i="7" l="1"/>
  <c r="I47" i="7" l="1"/>
  <c r="H47" i="7"/>
  <c r="G47" i="7"/>
  <c r="J48" i="7" l="1"/>
  <c r="K47" i="7"/>
  <c r="N47" i="7" l="1"/>
  <c r="M47" i="7"/>
  <c r="L47" i="7"/>
  <c r="AN9" i="7"/>
  <c r="AK47" i="7" l="1"/>
  <c r="AI47" i="7" l="1"/>
  <c r="AH47" i="7"/>
  <c r="AG47" i="7"/>
  <c r="AF47" i="7"/>
  <c r="AD47" i="7"/>
  <c r="AC47" i="7"/>
  <c r="AB47" i="7"/>
  <c r="AA47" i="7"/>
  <c r="Z47" i="7"/>
  <c r="Y47" i="7"/>
  <c r="X47" i="7"/>
  <c r="V47" i="7"/>
  <c r="T47" i="7"/>
  <c r="S47" i="7"/>
  <c r="R47" i="7"/>
  <c r="Q47" i="7"/>
  <c r="P47" i="7"/>
  <c r="AI48" i="7" l="1"/>
  <c r="O48" i="7"/>
  <c r="T48" i="7" l="1"/>
</calcChain>
</file>

<file path=xl/sharedStrings.xml><?xml version="1.0" encoding="utf-8"?>
<sst xmlns="http://schemas.openxmlformats.org/spreadsheetml/2006/main" count="398" uniqueCount="168">
  <si>
    <t>Region</t>
  </si>
  <si>
    <t>Date</t>
  </si>
  <si>
    <t>Venue</t>
  </si>
  <si>
    <t>Test Drive</t>
  </si>
  <si>
    <t>Exchange Enquiry</t>
  </si>
  <si>
    <t>Used Car Enquiry</t>
  </si>
  <si>
    <t>Free Evaluation</t>
  </si>
  <si>
    <t>Automobile</t>
  </si>
  <si>
    <t>Sales Enquriy</t>
  </si>
  <si>
    <t>Motorcycle</t>
  </si>
  <si>
    <t>Head Count</t>
  </si>
  <si>
    <t>ROS</t>
  </si>
  <si>
    <t>Dealer</t>
  </si>
  <si>
    <t>Financing</t>
  </si>
  <si>
    <t>Insurance</t>
  </si>
  <si>
    <t>Enquiry</t>
  </si>
  <si>
    <t>Conversion</t>
  </si>
  <si>
    <t>Spare Parts</t>
  </si>
  <si>
    <t>Parts Sales (PKR)</t>
  </si>
  <si>
    <t>Test Ride</t>
  </si>
  <si>
    <t>Dealer &amp; Venue wise Enquiry</t>
  </si>
  <si>
    <t>SUZUKI JACOBABAD MOTORS</t>
  </si>
  <si>
    <t xml:space="preserve">No of Customer Visited Showroom for Services </t>
  </si>
  <si>
    <t>Revenue from Such Customers</t>
  </si>
  <si>
    <t>No.</t>
  </si>
  <si>
    <t>Enq</t>
  </si>
  <si>
    <t>Hot</t>
  </si>
  <si>
    <t xml:space="preserve">Warm </t>
  </si>
  <si>
    <t>Lost</t>
  </si>
  <si>
    <t>Con</t>
  </si>
  <si>
    <t>TOTAL</t>
  </si>
  <si>
    <t>Conversion %</t>
  </si>
  <si>
    <t>Usta Muhammad</t>
  </si>
  <si>
    <t>First Follow-Up (03-March-2024)</t>
  </si>
  <si>
    <t>Second Follow-Up (15-April-2024)</t>
  </si>
  <si>
    <t>Thrid Follow-Up (07-May-2024)</t>
  </si>
  <si>
    <t>Suzuki Express Campaign 2025</t>
  </si>
  <si>
    <t>Free Check-up</t>
  </si>
  <si>
    <t>Oil Change</t>
  </si>
  <si>
    <t>Event Date</t>
  </si>
  <si>
    <t>Inquiry Detail</t>
  </si>
  <si>
    <t>Test Drive (4W)</t>
  </si>
  <si>
    <t>Test Ride (2W)</t>
  </si>
  <si>
    <t>Exchange Inquiry</t>
  </si>
  <si>
    <t>Used Car Inquiry</t>
  </si>
  <si>
    <t>Financing Inquiry</t>
  </si>
  <si>
    <t>Sales Inquiry (4W)</t>
  </si>
  <si>
    <t>Dadu</t>
  </si>
  <si>
    <t>SUZUKI MORO MOTORS</t>
  </si>
  <si>
    <t>Free Checkup</t>
  </si>
  <si>
    <t>Alto</t>
  </si>
  <si>
    <t>Cultus</t>
  </si>
  <si>
    <t>WagonR</t>
  </si>
  <si>
    <t>Swift</t>
  </si>
  <si>
    <t>Every</t>
  </si>
  <si>
    <t>Ravi</t>
  </si>
  <si>
    <t>Bolan</t>
  </si>
  <si>
    <t>Mehran</t>
  </si>
  <si>
    <t>Total</t>
  </si>
  <si>
    <t>Others</t>
  </si>
  <si>
    <t>Nawabshah / Sakrand</t>
  </si>
  <si>
    <t>SUZUKI NAWABSHAH MOTORS</t>
  </si>
  <si>
    <t>Sanghar</t>
  </si>
  <si>
    <t>SUZUKI SANGHAR MOTORS</t>
  </si>
  <si>
    <t>Nawabshah /
 Sakrand</t>
  </si>
  <si>
    <t xml:space="preserve">Umer Kot </t>
  </si>
  <si>
    <t>THARPARKAR MOTORS</t>
  </si>
  <si>
    <t>Exchange Conversion</t>
  </si>
  <si>
    <t>Used Car Conversion</t>
  </si>
  <si>
    <t>Financing Conversion</t>
  </si>
  <si>
    <t>Sales Inquiry (4W) Conversion</t>
  </si>
  <si>
    <t>Badin</t>
  </si>
  <si>
    <t>CARACHI MOTORS</t>
  </si>
  <si>
    <t>Tando M. Khan</t>
  </si>
  <si>
    <t>ZEESHAN AUTOS</t>
  </si>
  <si>
    <t>Tando M.
Khan</t>
  </si>
  <si>
    <t>Sales Enquiry (2W)</t>
  </si>
  <si>
    <t>Sales Enquiry (2W) Conversion</t>
  </si>
  <si>
    <t>Hub</t>
  </si>
  <si>
    <t>HUB MOTORS</t>
  </si>
  <si>
    <t>SUZUKI MEHRAN MOTORS</t>
  </si>
  <si>
    <t xml:space="preserve">Jamshoro </t>
  </si>
  <si>
    <t>Khairpur</t>
  </si>
  <si>
    <t>SUZUKI SUKKUR MOTORS</t>
  </si>
  <si>
    <t>SUZUKI GM MOTORS</t>
  </si>
  <si>
    <t>Daharki</t>
  </si>
  <si>
    <t>Feroza</t>
  </si>
  <si>
    <t>ROSP</t>
  </si>
  <si>
    <t>SUZUKI HABIB MOTORS</t>
  </si>
  <si>
    <t>Yazman</t>
  </si>
  <si>
    <t xml:space="preserve">SUZUKI BAHAWALPUR MOTORS </t>
  </si>
  <si>
    <t>Jatoi</t>
  </si>
  <si>
    <t>SUZUKI HABIB MOTORS ALIPUR</t>
  </si>
  <si>
    <t>Duniyapur</t>
  </si>
  <si>
    <t xml:space="preserve">SUZUKI UNIQUE MOTORS </t>
  </si>
  <si>
    <t>TOTAL CONVERSION (4W)</t>
  </si>
  <si>
    <t>TOTAL CONVERSION (2W)</t>
  </si>
  <si>
    <t>Mailsi</t>
  </si>
  <si>
    <t xml:space="preserve">SUZUKI UNITED MOTORS </t>
  </si>
  <si>
    <t xml:space="preserve">Hasilpur </t>
  </si>
  <si>
    <t>Hasilpur</t>
  </si>
  <si>
    <t xml:space="preserve">SUZUKI BAHAWALNAGAR MOTORS </t>
  </si>
  <si>
    <t>Haroonabad</t>
  </si>
  <si>
    <t xml:space="preserve">SUZUKI PAKPATTAN MOTORS </t>
  </si>
  <si>
    <t xml:space="preserve">Arif Wala </t>
  </si>
  <si>
    <t>Arif Wala</t>
  </si>
  <si>
    <t xml:space="preserve">Kamalia </t>
  </si>
  <si>
    <t xml:space="preserve">Abdul Hakim </t>
  </si>
  <si>
    <t>Athara Hazari</t>
  </si>
  <si>
    <t>ROCP</t>
  </si>
  <si>
    <t xml:space="preserve">SUZUKI CHICHAWATNI MOTORS </t>
  </si>
  <si>
    <t xml:space="preserve">SUZUKI SHORKOT MOTORS </t>
  </si>
  <si>
    <t>CHENAB MOTORS</t>
  </si>
  <si>
    <t>Gojra</t>
  </si>
  <si>
    <t>TOBA TEK SINGH MOTORS</t>
  </si>
  <si>
    <t>Chiniot</t>
  </si>
  <si>
    <t>FALCON MOTORS</t>
  </si>
  <si>
    <t>Shahkot</t>
  </si>
  <si>
    <t>BURJ MOTORS</t>
  </si>
  <si>
    <t>Pattoki</t>
  </si>
  <si>
    <t>CHUNIAN MOTORS</t>
  </si>
  <si>
    <t>Khudian Khas</t>
  </si>
  <si>
    <t>KASUR MOTORS</t>
  </si>
  <si>
    <t>Nankana</t>
  </si>
  <si>
    <t>SUMMIT MOTORS</t>
  </si>
  <si>
    <t>Daska</t>
  </si>
  <si>
    <t>SUZUKI GUJRAT MOTORS</t>
  </si>
  <si>
    <t>Sambrial</t>
  </si>
  <si>
    <t>WAZIRABAD MOTORS</t>
  </si>
  <si>
    <t>Khui Ratta</t>
  </si>
  <si>
    <t>RON</t>
  </si>
  <si>
    <t>KOTLI MOTORS</t>
  </si>
  <si>
    <t>Rawalakot</t>
  </si>
  <si>
    <t>MUZAFFRAABD MOTORS</t>
  </si>
  <si>
    <t>Bagh</t>
  </si>
  <si>
    <t>Murree</t>
  </si>
  <si>
    <t>ISLAMABAD MOTORS</t>
  </si>
  <si>
    <t>Buner</t>
  </si>
  <si>
    <t>Dargai</t>
  </si>
  <si>
    <t>Chawa Saiden shah</t>
  </si>
  <si>
    <t>Chowk Azam</t>
  </si>
  <si>
    <t>SWAT MOTORS</t>
  </si>
  <si>
    <t>MARDAN MOTORS</t>
  </si>
  <si>
    <t>Bargai</t>
  </si>
  <si>
    <t>Tangi</t>
  </si>
  <si>
    <t>KHYBER MOTORS</t>
  </si>
  <si>
    <t>GUJJAR KHAN MOTORS</t>
  </si>
  <si>
    <t>Piplan</t>
  </si>
  <si>
    <t>JANI MOTORS</t>
  </si>
  <si>
    <t>BHAKKAR MOTORS</t>
  </si>
  <si>
    <t>Chawa Saiden 
Shah</t>
  </si>
  <si>
    <t xml:space="preserve">New Car Sales </t>
  </si>
  <si>
    <t xml:space="preserve">Exchange </t>
  </si>
  <si>
    <t>Used Car</t>
  </si>
  <si>
    <t>Wednesday, 5 February 2025</t>
  </si>
  <si>
    <t xml:space="preserve">Every </t>
  </si>
  <si>
    <t>Saturday, 8 February 2025</t>
  </si>
  <si>
    <t xml:space="preserve">Mehran </t>
  </si>
  <si>
    <t>Monday, 10 February 2025</t>
  </si>
  <si>
    <t xml:space="preserve">Alto </t>
  </si>
  <si>
    <t>Tuesday, 11 February 2025</t>
  </si>
  <si>
    <t>Thursday, 13 February 2025</t>
  </si>
  <si>
    <t>Saturday, 15 February 2025</t>
  </si>
  <si>
    <t xml:space="preserve">Swift </t>
  </si>
  <si>
    <t>Monday, 17 February 2025</t>
  </si>
  <si>
    <t>Wednesday, 19 February 2025</t>
  </si>
  <si>
    <t>Thursday, 20 February 2025</t>
  </si>
  <si>
    <t>Saturday, 22 February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</si>
</sst>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SuzukiPRORegular"/>
      <family val="2"/>
    </font>
    <font>
      <b/>
      <sz val="11"/>
      <color theme="1"/>
      <name val="SuzukiPRORegular"/>
      <family val="2"/>
    </font>
    <font>
      <b/>
      <u/>
      <sz val="16"/>
      <color theme="1"/>
      <name val="SuzukiPRORegular"/>
      <family val="2"/>
    </font>
    <font>
      <sz val="11"/>
      <color rgb="FF000000"/>
      <name val="SuzukiPRORegular"/>
      <family val="2"/>
    </font>
    <font>
      <b/>
      <sz val="14"/>
      <color theme="1"/>
      <name val="SuzukiPRORegular"/>
      <family val="2"/>
    </font>
    <font>
      <b/>
      <i/>
      <sz val="11"/>
      <color theme="1"/>
      <name val="SuzukiPRORegular"/>
      <family val="2"/>
    </font>
    <font>
      <sz val="16"/>
      <color theme="1"/>
      <name val="SuzukiPRORegular"/>
      <family val="2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3" fontId="0" fillId="0" borderId="0" xfId="0" applyNumberFormat="1"/>
    <xf numFmtId="3" fontId="5" fillId="0" borderId="12" xfId="0" applyNumberFormat="1" applyFont="1" applyBorder="1" applyAlignment="1">
      <alignment horizontal="center" vertical="center"/>
    </xf>
    <xf numFmtId="9" fontId="1" fillId="0" borderId="0" xfId="0" applyNumberFormat="1" applyFont="1"/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5ACE-34F1-4EC3-A4A5-E981D78CF0EE}">
  <dimension ref="A1:H13"/>
  <sheetViews>
    <sheetView workbookViewId="0">
      <selection activeCell="D16" sqref="D16"/>
    </sheetView>
  </sheetViews>
  <sheetFormatPr defaultRowHeight="14.4" x14ac:dyDescent="0.3"/>
  <cols>
    <col min="1" max="1" width="24.21875" bestFit="1" customWidth="1"/>
    <col min="2" max="2" width="11.44140625" bestFit="1" customWidth="1"/>
    <col min="3" max="3" width="5.77734375" bestFit="1" customWidth="1"/>
    <col min="4" max="4" width="23.77734375" bestFit="1" customWidth="1"/>
    <col min="5" max="5" width="11.5546875" bestFit="1" customWidth="1"/>
    <col min="6" max="6" width="8.21875" bestFit="1" customWidth="1"/>
    <col min="7" max="7" width="7.21875" bestFit="1" customWidth="1"/>
  </cols>
  <sheetData>
    <row r="1" spans="1:8" x14ac:dyDescent="0.3">
      <c r="A1" s="65" t="s">
        <v>1</v>
      </c>
      <c r="B1" s="65" t="s">
        <v>2</v>
      </c>
      <c r="C1" s="65" t="s">
        <v>0</v>
      </c>
      <c r="D1" s="65" t="s">
        <v>12</v>
      </c>
      <c r="E1" s="65" t="s">
        <v>151</v>
      </c>
      <c r="F1" s="65" t="s">
        <v>152</v>
      </c>
      <c r="G1" s="65" t="s">
        <v>153</v>
      </c>
      <c r="H1" s="62"/>
    </row>
    <row r="2" spans="1:8" x14ac:dyDescent="0.3">
      <c r="A2" s="65"/>
      <c r="B2" s="65"/>
      <c r="C2" s="65"/>
      <c r="D2" s="65"/>
      <c r="E2" s="65"/>
      <c r="F2" s="65"/>
      <c r="G2" s="65"/>
      <c r="H2" s="62"/>
    </row>
    <row r="3" spans="1:8" x14ac:dyDescent="0.3">
      <c r="A3" s="65"/>
      <c r="B3" s="65"/>
      <c r="C3" s="65"/>
      <c r="D3" s="65"/>
      <c r="E3" s="65"/>
      <c r="F3" s="65"/>
      <c r="G3" s="65"/>
      <c r="H3" s="62"/>
    </row>
    <row r="4" spans="1:8" x14ac:dyDescent="0.3">
      <c r="A4" s="63" t="s">
        <v>154</v>
      </c>
      <c r="B4" s="63" t="s">
        <v>86</v>
      </c>
      <c r="C4" s="63" t="s">
        <v>87</v>
      </c>
      <c r="D4" s="64" t="s">
        <v>88</v>
      </c>
      <c r="E4" s="64" t="s">
        <v>155</v>
      </c>
      <c r="F4" s="64"/>
      <c r="G4" s="64"/>
      <c r="H4" s="62"/>
    </row>
    <row r="5" spans="1:8" x14ac:dyDescent="0.3">
      <c r="A5" s="63" t="s">
        <v>156</v>
      </c>
      <c r="B5" s="63" t="s">
        <v>89</v>
      </c>
      <c r="C5" s="63" t="s">
        <v>87</v>
      </c>
      <c r="D5" s="64" t="s">
        <v>90</v>
      </c>
      <c r="E5" s="64"/>
      <c r="F5" s="64"/>
      <c r="G5" s="64" t="s">
        <v>157</v>
      </c>
      <c r="H5" s="62"/>
    </row>
    <row r="6" spans="1:8" x14ac:dyDescent="0.3">
      <c r="A6" s="63" t="s">
        <v>158</v>
      </c>
      <c r="B6" s="63" t="s">
        <v>91</v>
      </c>
      <c r="C6" s="63" t="s">
        <v>87</v>
      </c>
      <c r="D6" s="64" t="s">
        <v>92</v>
      </c>
      <c r="E6" s="64" t="s">
        <v>159</v>
      </c>
      <c r="F6" s="64"/>
      <c r="G6" s="64"/>
      <c r="H6" s="62"/>
    </row>
    <row r="7" spans="1:8" x14ac:dyDescent="0.3">
      <c r="A7" s="63" t="s">
        <v>160</v>
      </c>
      <c r="B7" s="63" t="s">
        <v>93</v>
      </c>
      <c r="C7" s="63" t="s">
        <v>87</v>
      </c>
      <c r="D7" s="64" t="s">
        <v>94</v>
      </c>
      <c r="E7" s="64" t="s">
        <v>159</v>
      </c>
      <c r="F7" s="64" t="s">
        <v>50</v>
      </c>
      <c r="G7" s="64"/>
      <c r="H7" s="62"/>
    </row>
    <row r="8" spans="1:8" x14ac:dyDescent="0.3">
      <c r="A8" s="63" t="s">
        <v>161</v>
      </c>
      <c r="B8" s="63" t="s">
        <v>97</v>
      </c>
      <c r="C8" s="63" t="s">
        <v>87</v>
      </c>
      <c r="D8" s="64" t="s">
        <v>98</v>
      </c>
      <c r="E8" s="64"/>
      <c r="F8" s="64"/>
      <c r="G8" s="64"/>
      <c r="H8" s="62"/>
    </row>
    <row r="9" spans="1:8" x14ac:dyDescent="0.3">
      <c r="A9" s="63" t="s">
        <v>162</v>
      </c>
      <c r="B9" s="63" t="s">
        <v>99</v>
      </c>
      <c r="C9" s="63" t="s">
        <v>87</v>
      </c>
      <c r="D9" s="64" t="s">
        <v>98</v>
      </c>
      <c r="E9" s="64" t="s">
        <v>159</v>
      </c>
      <c r="F9" s="64" t="s">
        <v>163</v>
      </c>
      <c r="G9" s="64"/>
      <c r="H9" s="62"/>
    </row>
    <row r="10" spans="1:8" x14ac:dyDescent="0.3">
      <c r="A10" s="63" t="s">
        <v>164</v>
      </c>
      <c r="B10" s="63" t="s">
        <v>102</v>
      </c>
      <c r="C10" s="63" t="s">
        <v>87</v>
      </c>
      <c r="D10" s="64" t="s">
        <v>101</v>
      </c>
      <c r="E10" s="64"/>
      <c r="F10" s="64"/>
      <c r="G10" s="64"/>
      <c r="H10" s="62"/>
    </row>
    <row r="11" spans="1:8" x14ac:dyDescent="0.3">
      <c r="A11" s="63" t="s">
        <v>165</v>
      </c>
      <c r="B11" s="63" t="s">
        <v>104</v>
      </c>
      <c r="C11" s="63" t="s">
        <v>87</v>
      </c>
      <c r="D11" s="64" t="s">
        <v>103</v>
      </c>
      <c r="E11" s="64"/>
      <c r="F11" s="64"/>
      <c r="G11" s="64"/>
      <c r="H11" s="62"/>
    </row>
    <row r="12" spans="1:8" x14ac:dyDescent="0.3">
      <c r="A12" s="63" t="s">
        <v>166</v>
      </c>
      <c r="B12" s="63" t="s">
        <v>106</v>
      </c>
      <c r="C12" s="63" t="s">
        <v>87</v>
      </c>
      <c r="D12" s="64" t="s">
        <v>110</v>
      </c>
      <c r="E12" s="64" t="s">
        <v>159</v>
      </c>
      <c r="F12" s="64"/>
      <c r="G12" s="64"/>
      <c r="H12" s="62"/>
    </row>
    <row r="13" spans="1:8" x14ac:dyDescent="0.3">
      <c r="A13" s="63" t="s">
        <v>167</v>
      </c>
      <c r="B13" s="63" t="s">
        <v>107</v>
      </c>
      <c r="C13" s="63" t="s">
        <v>87</v>
      </c>
      <c r="D13" s="64" t="s">
        <v>111</v>
      </c>
      <c r="E13" s="64" t="s">
        <v>159</v>
      </c>
      <c r="F13" s="64"/>
      <c r="G13" s="64"/>
      <c r="H13" s="62"/>
    </row>
  </sheetData>
  <mergeCells count="7">
    <mergeCell ref="G1:G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B07C-3AA6-4A2E-97CE-240599DB9409}">
  <dimension ref="A1:AN55"/>
  <sheetViews>
    <sheetView zoomScale="80" zoomScaleNormal="80" workbookViewId="0">
      <pane xSplit="4" ySplit="6" topLeftCell="E7" activePane="bottomRight" state="frozen"/>
      <selection activeCell="B29" sqref="B29"/>
      <selection pane="topRight" activeCell="B29" sqref="B29"/>
      <selection pane="bottomLeft" activeCell="B29" sqref="B29"/>
      <selection pane="bottomRight" activeCell="G13" sqref="G13"/>
    </sheetView>
  </sheetViews>
  <sheetFormatPr defaultColWidth="9.21875" defaultRowHeight="14.4" x14ac:dyDescent="0.3"/>
  <cols>
    <col min="1" max="1" width="33.21875" style="2" customWidth="1"/>
    <col min="2" max="2" width="22" style="2" bestFit="1" customWidth="1"/>
    <col min="3" max="3" width="21.44140625" style="2" bestFit="1" customWidth="1"/>
    <col min="4" max="4" width="33" style="9" bestFit="1" customWidth="1"/>
    <col min="5" max="5" width="12.44140625" style="2" customWidth="1"/>
    <col min="6" max="6" width="9.21875" style="2" bestFit="1" customWidth="1"/>
    <col min="7" max="9" width="8.77734375" style="2" customWidth="1"/>
    <col min="10" max="10" width="13" style="2" bestFit="1" customWidth="1"/>
    <col min="11" max="11" width="11.77734375" style="2" customWidth="1"/>
    <col min="12" max="14" width="7.44140625" style="2" customWidth="1"/>
    <col min="15" max="15" width="14.77734375" style="2" customWidth="1"/>
    <col min="16" max="19" width="7.5546875" style="2" customWidth="1"/>
    <col min="20" max="20" width="13" style="2" bestFit="1" customWidth="1"/>
    <col min="21" max="21" width="17.77734375" style="2" bestFit="1" customWidth="1"/>
    <col min="22" max="22" width="19.5546875" style="2" bestFit="1" customWidth="1"/>
    <col min="23" max="25" width="19.5546875" style="2" customWidth="1"/>
    <col min="26" max="26" width="11.21875" style="2" bestFit="1" customWidth="1"/>
    <col min="27" max="27" width="11.21875" style="2" customWidth="1"/>
    <col min="28" max="28" width="13" style="2" bestFit="1" customWidth="1"/>
    <col min="29" max="29" width="13" style="2" customWidth="1"/>
    <col min="30" max="30" width="14.77734375" style="2" customWidth="1"/>
    <col min="31" max="31" width="13.5546875" style="2" bestFit="1" customWidth="1"/>
    <col min="32" max="34" width="10.21875" style="2" customWidth="1"/>
    <col min="35" max="35" width="13" style="2" bestFit="1" customWidth="1"/>
    <col min="36" max="36" width="19.77734375" style="2" bestFit="1" customWidth="1"/>
    <col min="37" max="37" width="13.5546875" style="2" bestFit="1" customWidth="1"/>
    <col min="38" max="38" width="14.21875" style="2" bestFit="1" customWidth="1"/>
    <col min="39" max="39" width="18.21875" style="2" bestFit="1" customWidth="1"/>
    <col min="40" max="40" width="21.77734375" style="2" bestFit="1" customWidth="1"/>
    <col min="41" max="41" width="26" style="2" bestFit="1" customWidth="1"/>
    <col min="42" max="43" width="13.44140625" style="2" bestFit="1" customWidth="1"/>
    <col min="44" max="16384" width="9.21875" style="2"/>
  </cols>
  <sheetData>
    <row r="1" spans="1:40" ht="21" x14ac:dyDescent="0.3">
      <c r="A1" s="66" t="s">
        <v>36</v>
      </c>
      <c r="B1" s="66"/>
      <c r="C1" s="66"/>
      <c r="D1" s="66"/>
      <c r="E1" s="54"/>
    </row>
    <row r="2" spans="1:40" ht="21" x14ac:dyDescent="0.3">
      <c r="A2" s="7"/>
      <c r="B2" s="7"/>
      <c r="C2" s="7"/>
      <c r="D2" s="7"/>
    </row>
    <row r="3" spans="1:40" ht="18" x14ac:dyDescent="0.3">
      <c r="A3" s="67" t="s">
        <v>20</v>
      </c>
      <c r="B3" s="67"/>
      <c r="C3" s="67"/>
    </row>
    <row r="4" spans="1:40" s="10" customFormat="1" ht="15" customHeight="1" x14ac:dyDescent="0.3">
      <c r="A4" s="68" t="s">
        <v>1</v>
      </c>
      <c r="B4" s="68" t="s">
        <v>2</v>
      </c>
      <c r="C4" s="68" t="s">
        <v>0</v>
      </c>
      <c r="D4" s="68" t="s">
        <v>12</v>
      </c>
      <c r="E4" s="73" t="s">
        <v>7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6"/>
      <c r="AD4" s="73" t="s">
        <v>9</v>
      </c>
      <c r="AE4" s="73"/>
      <c r="AF4" s="73"/>
      <c r="AG4" s="73"/>
      <c r="AH4" s="73"/>
      <c r="AI4" s="73"/>
      <c r="AJ4" s="6" t="s">
        <v>17</v>
      </c>
      <c r="AK4" s="73" t="s">
        <v>10</v>
      </c>
    </row>
    <row r="5" spans="1:40" ht="66" customHeight="1" x14ac:dyDescent="0.3">
      <c r="A5" s="68"/>
      <c r="B5" s="68"/>
      <c r="C5" s="68"/>
      <c r="D5" s="68"/>
      <c r="E5" s="6" t="s">
        <v>3</v>
      </c>
      <c r="F5" s="73" t="s">
        <v>8</v>
      </c>
      <c r="G5" s="73"/>
      <c r="H5" s="73"/>
      <c r="I5" s="73"/>
      <c r="J5" s="73"/>
      <c r="K5" s="73" t="s">
        <v>4</v>
      </c>
      <c r="L5" s="73"/>
      <c r="M5" s="73"/>
      <c r="N5" s="73"/>
      <c r="O5" s="73"/>
      <c r="P5" s="73" t="s">
        <v>5</v>
      </c>
      <c r="Q5" s="73"/>
      <c r="R5" s="73"/>
      <c r="S5" s="73"/>
      <c r="T5" s="73"/>
      <c r="U5" s="6" t="s">
        <v>6</v>
      </c>
      <c r="V5" s="8" t="s">
        <v>37</v>
      </c>
      <c r="W5" s="8" t="s">
        <v>38</v>
      </c>
      <c r="X5" s="8" t="s">
        <v>22</v>
      </c>
      <c r="Y5" s="8" t="s">
        <v>23</v>
      </c>
      <c r="Z5" s="73" t="s">
        <v>13</v>
      </c>
      <c r="AA5" s="73"/>
      <c r="AB5" s="73" t="s">
        <v>14</v>
      </c>
      <c r="AC5" s="73"/>
      <c r="AD5" s="6" t="s">
        <v>19</v>
      </c>
      <c r="AE5" s="73" t="s">
        <v>8</v>
      </c>
      <c r="AF5" s="73"/>
      <c r="AG5" s="73"/>
      <c r="AH5" s="73"/>
      <c r="AI5" s="73"/>
      <c r="AJ5" s="73" t="s">
        <v>18</v>
      </c>
      <c r="AK5" s="73"/>
    </row>
    <row r="6" spans="1:40" x14ac:dyDescent="0.3">
      <c r="A6" s="68"/>
      <c r="B6" s="68"/>
      <c r="C6" s="68"/>
      <c r="D6" s="68"/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16</v>
      </c>
      <c r="K6" s="6" t="s">
        <v>25</v>
      </c>
      <c r="L6" s="6" t="s">
        <v>26</v>
      </c>
      <c r="M6" s="6" t="s">
        <v>27</v>
      </c>
      <c r="N6" s="6" t="s">
        <v>28</v>
      </c>
      <c r="O6" s="6" t="s">
        <v>16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16</v>
      </c>
      <c r="U6" s="6" t="s">
        <v>24</v>
      </c>
      <c r="V6" s="6" t="s">
        <v>24</v>
      </c>
      <c r="W6" s="6" t="s">
        <v>24</v>
      </c>
      <c r="X6" s="6"/>
      <c r="Y6" s="6"/>
      <c r="Z6" s="6" t="s">
        <v>15</v>
      </c>
      <c r="AA6" s="6" t="s">
        <v>29</v>
      </c>
      <c r="AB6" s="6" t="s">
        <v>15</v>
      </c>
      <c r="AC6" s="6" t="s">
        <v>29</v>
      </c>
      <c r="AD6" s="6" t="s">
        <v>15</v>
      </c>
      <c r="AE6" s="6" t="s">
        <v>15</v>
      </c>
      <c r="AF6" s="6" t="s">
        <v>26</v>
      </c>
      <c r="AG6" s="6" t="s">
        <v>27</v>
      </c>
      <c r="AH6" s="6" t="s">
        <v>28</v>
      </c>
      <c r="AI6" s="6" t="s">
        <v>16</v>
      </c>
      <c r="AJ6" s="73"/>
      <c r="AK6" s="73"/>
    </row>
    <row r="7" spans="1:40" ht="15" customHeight="1" x14ac:dyDescent="0.3">
      <c r="A7" s="33">
        <v>45673</v>
      </c>
      <c r="B7" s="1" t="s">
        <v>32</v>
      </c>
      <c r="C7" s="1" t="s">
        <v>11</v>
      </c>
      <c r="D7" s="14" t="s">
        <v>21</v>
      </c>
      <c r="E7" s="1">
        <v>46</v>
      </c>
      <c r="F7" s="1">
        <v>55</v>
      </c>
      <c r="G7" s="1">
        <v>0</v>
      </c>
      <c r="H7" s="1">
        <v>2</v>
      </c>
      <c r="I7" s="1">
        <v>53</v>
      </c>
      <c r="J7" s="1">
        <v>0</v>
      </c>
      <c r="K7" s="1">
        <v>31</v>
      </c>
      <c r="L7" s="1">
        <v>0</v>
      </c>
      <c r="M7" s="1">
        <v>0</v>
      </c>
      <c r="N7" s="1">
        <v>31</v>
      </c>
      <c r="O7" s="1"/>
      <c r="P7" s="1">
        <v>33</v>
      </c>
      <c r="Q7" s="1">
        <v>0</v>
      </c>
      <c r="R7" s="1">
        <v>0</v>
      </c>
      <c r="S7" s="1">
        <v>33</v>
      </c>
      <c r="T7" s="1"/>
      <c r="U7" s="1">
        <v>80</v>
      </c>
      <c r="V7" s="1">
        <v>83</v>
      </c>
      <c r="W7" s="1">
        <v>9</v>
      </c>
      <c r="X7" s="1">
        <v>3</v>
      </c>
      <c r="Y7" s="4">
        <v>7800</v>
      </c>
      <c r="Z7" s="1">
        <v>3</v>
      </c>
      <c r="AA7" s="1"/>
      <c r="AB7" s="1">
        <v>9</v>
      </c>
      <c r="AC7" s="1"/>
      <c r="AD7" s="1"/>
      <c r="AE7" s="1"/>
      <c r="AF7" s="1"/>
      <c r="AG7" s="1"/>
      <c r="AH7" s="1"/>
      <c r="AI7" s="1"/>
      <c r="AJ7" s="4">
        <v>60754</v>
      </c>
      <c r="AK7" s="1">
        <v>130</v>
      </c>
    </row>
    <row r="8" spans="1:40" x14ac:dyDescent="0.3">
      <c r="A8" s="33">
        <v>45675</v>
      </c>
      <c r="B8" s="1" t="s">
        <v>47</v>
      </c>
      <c r="C8" s="1" t="s">
        <v>11</v>
      </c>
      <c r="D8" s="14" t="s">
        <v>48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2"/>
      <c r="U8" s="11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4"/>
      <c r="AK8" s="11"/>
    </row>
    <row r="9" spans="1:40" x14ac:dyDescent="0.3">
      <c r="A9" s="33">
        <v>45677</v>
      </c>
      <c r="B9" s="1" t="s">
        <v>60</v>
      </c>
      <c r="C9" s="1" t="s">
        <v>11</v>
      </c>
      <c r="D9" s="14" t="s">
        <v>61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2"/>
      <c r="U9" s="11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3"/>
      <c r="AK9" s="11"/>
      <c r="AN9" s="2">
        <f>AL9-AM9</f>
        <v>0</v>
      </c>
    </row>
    <row r="10" spans="1:40" x14ac:dyDescent="0.3">
      <c r="A10" s="33">
        <v>45678</v>
      </c>
      <c r="B10" s="1" t="s">
        <v>62</v>
      </c>
      <c r="C10" s="1" t="s">
        <v>11</v>
      </c>
      <c r="D10" s="14" t="s">
        <v>63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  <c r="U10" s="11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3"/>
      <c r="AK10" s="11"/>
    </row>
    <row r="11" spans="1:40" x14ac:dyDescent="0.3">
      <c r="A11" s="33">
        <v>45680</v>
      </c>
      <c r="B11" s="1" t="s">
        <v>65</v>
      </c>
      <c r="C11" s="1" t="s">
        <v>11</v>
      </c>
      <c r="D11" s="14" t="s">
        <v>66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31"/>
      <c r="R11" s="31"/>
      <c r="S11" s="31"/>
      <c r="T11" s="32"/>
      <c r="U11" s="11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3"/>
      <c r="AK11" s="11"/>
    </row>
    <row r="12" spans="1:40" x14ac:dyDescent="0.3">
      <c r="A12" s="33">
        <v>45682</v>
      </c>
      <c r="B12" s="1" t="s">
        <v>71</v>
      </c>
      <c r="C12" s="1" t="s">
        <v>11</v>
      </c>
      <c r="D12" s="14" t="s">
        <v>72</v>
      </c>
      <c r="E12" s="11"/>
      <c r="F12" s="11"/>
      <c r="G12" s="11"/>
      <c r="H12" s="11"/>
      <c r="I12" s="11"/>
      <c r="J12" s="31"/>
      <c r="K12" s="11"/>
      <c r="L12" s="11"/>
      <c r="M12" s="11"/>
      <c r="N12" s="11"/>
      <c r="O12" s="11"/>
      <c r="P12" s="11"/>
      <c r="Q12" s="11"/>
      <c r="R12" s="11"/>
      <c r="S12" s="11"/>
      <c r="T12" s="12"/>
      <c r="U12" s="11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3"/>
      <c r="AK12" s="11"/>
    </row>
    <row r="13" spans="1:40" x14ac:dyDescent="0.3">
      <c r="A13" s="33">
        <v>45683</v>
      </c>
      <c r="B13" s="1" t="s">
        <v>73</v>
      </c>
      <c r="C13" s="1" t="s">
        <v>11</v>
      </c>
      <c r="D13" s="14" t="s">
        <v>74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2"/>
      <c r="U13" s="11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3"/>
      <c r="AK13" s="11"/>
    </row>
    <row r="14" spans="1:40" x14ac:dyDescent="0.3">
      <c r="A14" s="33">
        <v>45685</v>
      </c>
      <c r="B14" s="1" t="s">
        <v>78</v>
      </c>
      <c r="C14" s="1" t="s">
        <v>11</v>
      </c>
      <c r="D14" s="14" t="s">
        <v>79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2"/>
      <c r="U14" s="11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3"/>
      <c r="AK14" s="11"/>
    </row>
    <row r="15" spans="1:40" x14ac:dyDescent="0.3">
      <c r="A15" s="33">
        <v>45687</v>
      </c>
      <c r="B15" s="1" t="s">
        <v>81</v>
      </c>
      <c r="C15" s="1" t="s">
        <v>11</v>
      </c>
      <c r="D15" s="14" t="s">
        <v>80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31"/>
      <c r="R15" s="31"/>
      <c r="S15" s="31"/>
      <c r="T15" s="32"/>
      <c r="U15" s="11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3"/>
      <c r="AK15" s="11"/>
    </row>
    <row r="16" spans="1:40" x14ac:dyDescent="0.3">
      <c r="A16" s="33">
        <v>45689</v>
      </c>
      <c r="B16" s="1" t="s">
        <v>82</v>
      </c>
      <c r="C16" s="1" t="s">
        <v>11</v>
      </c>
      <c r="D16" s="14" t="s">
        <v>83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2"/>
      <c r="U16" s="11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3"/>
      <c r="AK16" s="11"/>
    </row>
    <row r="17" spans="1:37" x14ac:dyDescent="0.3">
      <c r="A17" s="33">
        <v>45691</v>
      </c>
      <c r="B17" s="1" t="s">
        <v>85</v>
      </c>
      <c r="C17" s="1" t="s">
        <v>11</v>
      </c>
      <c r="D17" s="14" t="s">
        <v>84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2"/>
      <c r="U17" s="11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3"/>
      <c r="AK17" s="11"/>
    </row>
    <row r="18" spans="1:37" x14ac:dyDescent="0.3">
      <c r="A18" s="33">
        <v>45693</v>
      </c>
      <c r="B18" s="1" t="s">
        <v>86</v>
      </c>
      <c r="C18" s="1" t="s">
        <v>87</v>
      </c>
      <c r="D18" s="14" t="s">
        <v>88</v>
      </c>
      <c r="E18" s="11">
        <v>50</v>
      </c>
      <c r="F18" s="11">
        <v>19</v>
      </c>
      <c r="G18" s="11">
        <v>0</v>
      </c>
      <c r="H18" s="11">
        <v>0</v>
      </c>
      <c r="I18" s="11">
        <v>18</v>
      </c>
      <c r="J18" s="11">
        <v>1</v>
      </c>
      <c r="K18" s="11">
        <v>5</v>
      </c>
      <c r="L18" s="11"/>
      <c r="M18" s="11"/>
      <c r="N18" s="11">
        <v>5</v>
      </c>
      <c r="O18" s="11"/>
      <c r="P18" s="11">
        <v>12</v>
      </c>
      <c r="Q18" s="11"/>
      <c r="R18" s="11"/>
      <c r="S18" s="11">
        <v>12</v>
      </c>
      <c r="T18" s="12"/>
      <c r="U18" s="11">
        <v>83</v>
      </c>
      <c r="V18" s="11">
        <v>83</v>
      </c>
      <c r="W18" s="11">
        <v>13</v>
      </c>
      <c r="X18" s="11"/>
      <c r="Y18" s="13"/>
      <c r="Z18" s="11"/>
      <c r="AA18" s="11"/>
      <c r="AB18" s="11"/>
      <c r="AC18" s="11"/>
      <c r="AD18" s="11">
        <v>15</v>
      </c>
      <c r="AE18" s="11">
        <v>24</v>
      </c>
      <c r="AF18" s="11"/>
      <c r="AG18" s="11"/>
      <c r="AH18" s="11">
        <v>24</v>
      </c>
      <c r="AI18" s="11"/>
      <c r="AJ18" s="13">
        <v>135585</v>
      </c>
      <c r="AK18" s="11">
        <v>205</v>
      </c>
    </row>
    <row r="19" spans="1:37" x14ac:dyDescent="0.3">
      <c r="A19" s="33">
        <v>45696</v>
      </c>
      <c r="B19" s="1" t="s">
        <v>89</v>
      </c>
      <c r="C19" s="1" t="s">
        <v>87</v>
      </c>
      <c r="D19" s="11" t="s">
        <v>90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2"/>
      <c r="U19" s="11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3"/>
      <c r="AK19" s="11"/>
    </row>
    <row r="20" spans="1:37" x14ac:dyDescent="0.3">
      <c r="A20" s="33">
        <v>45698</v>
      </c>
      <c r="B20" s="1" t="s">
        <v>91</v>
      </c>
      <c r="C20" s="1" t="s">
        <v>87</v>
      </c>
      <c r="D20" s="11" t="s">
        <v>92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2"/>
      <c r="U20" s="11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3"/>
      <c r="AK20" s="11"/>
    </row>
    <row r="21" spans="1:37" x14ac:dyDescent="0.3">
      <c r="A21" s="33">
        <v>45699</v>
      </c>
      <c r="B21" s="1" t="s">
        <v>93</v>
      </c>
      <c r="C21" s="1" t="s">
        <v>87</v>
      </c>
      <c r="D21" s="11" t="s">
        <v>94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/>
      <c r="U21" s="11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3"/>
      <c r="AK21" s="11"/>
    </row>
    <row r="22" spans="1:37" x14ac:dyDescent="0.3">
      <c r="A22" s="33">
        <v>45701</v>
      </c>
      <c r="B22" s="1" t="s">
        <v>97</v>
      </c>
      <c r="C22" s="1" t="s">
        <v>87</v>
      </c>
      <c r="D22" s="11" t="s">
        <v>98</v>
      </c>
      <c r="E22" s="11"/>
      <c r="F22" s="11"/>
      <c r="G22" s="52"/>
      <c r="H22" s="52"/>
      <c r="I22" s="52"/>
      <c r="J22" s="52"/>
      <c r="K22" s="11"/>
      <c r="L22" s="52"/>
      <c r="M22" s="52"/>
      <c r="N22" s="52"/>
      <c r="O22" s="52"/>
      <c r="P22" s="11"/>
      <c r="Q22" s="52"/>
      <c r="R22" s="52"/>
      <c r="S22" s="52"/>
      <c r="T22" s="14"/>
      <c r="U22" s="11"/>
      <c r="V22" s="11"/>
      <c r="W22" s="11"/>
      <c r="X22" s="52"/>
      <c r="Y22" s="53"/>
      <c r="Z22" s="11"/>
      <c r="AA22" s="11"/>
      <c r="AB22" s="11"/>
      <c r="AC22" s="11"/>
      <c r="AD22" s="11"/>
      <c r="AE22" s="11"/>
      <c r="AF22" s="52"/>
      <c r="AG22" s="52"/>
      <c r="AH22" s="52"/>
      <c r="AI22" s="52"/>
      <c r="AJ22" s="13"/>
      <c r="AK22" s="11"/>
    </row>
    <row r="23" spans="1:37" x14ac:dyDescent="0.3">
      <c r="A23" s="33">
        <v>45703</v>
      </c>
      <c r="B23" s="1" t="s">
        <v>99</v>
      </c>
      <c r="C23" s="1" t="s">
        <v>87</v>
      </c>
      <c r="D23" s="11" t="s">
        <v>98</v>
      </c>
      <c r="E23" s="11"/>
      <c r="F23" s="11"/>
      <c r="G23" s="52"/>
      <c r="H23" s="52"/>
      <c r="I23" s="52"/>
      <c r="J23" s="52"/>
      <c r="K23" s="11"/>
      <c r="L23" s="52"/>
      <c r="M23" s="52"/>
      <c r="N23" s="52"/>
      <c r="O23" s="52"/>
      <c r="P23" s="11"/>
      <c r="Q23" s="52"/>
      <c r="R23" s="52"/>
      <c r="S23" s="52"/>
      <c r="T23" s="14"/>
      <c r="U23" s="11"/>
      <c r="V23" s="11"/>
      <c r="W23" s="11"/>
      <c r="X23" s="52"/>
      <c r="Y23" s="53"/>
      <c r="Z23" s="11"/>
      <c r="AA23" s="11"/>
      <c r="AB23" s="11"/>
      <c r="AC23" s="11"/>
      <c r="AD23" s="11"/>
      <c r="AE23" s="11"/>
      <c r="AF23" s="52"/>
      <c r="AG23" s="52"/>
      <c r="AH23" s="52"/>
      <c r="AI23" s="52"/>
      <c r="AJ23" s="13"/>
      <c r="AK23" s="11"/>
    </row>
    <row r="24" spans="1:37" x14ac:dyDescent="0.3">
      <c r="A24" s="33">
        <v>45705</v>
      </c>
      <c r="B24" s="1" t="s">
        <v>102</v>
      </c>
      <c r="C24" s="1" t="s">
        <v>87</v>
      </c>
      <c r="D24" s="11" t="s">
        <v>101</v>
      </c>
      <c r="E24" s="11"/>
      <c r="F24" s="11"/>
      <c r="G24" s="52"/>
      <c r="H24" s="52"/>
      <c r="I24" s="52"/>
      <c r="J24" s="52"/>
      <c r="K24" s="11"/>
      <c r="L24" s="52"/>
      <c r="M24" s="52"/>
      <c r="N24" s="52"/>
      <c r="O24" s="52"/>
      <c r="P24" s="11"/>
      <c r="Q24" s="52"/>
      <c r="R24" s="52"/>
      <c r="S24" s="52"/>
      <c r="T24" s="14"/>
      <c r="U24" s="11"/>
      <c r="V24" s="11"/>
      <c r="W24" s="11"/>
      <c r="X24" s="52"/>
      <c r="Y24" s="53"/>
      <c r="Z24" s="11"/>
      <c r="AA24" s="11"/>
      <c r="AB24" s="11"/>
      <c r="AC24" s="11"/>
      <c r="AD24" s="11"/>
      <c r="AE24" s="11"/>
      <c r="AF24" s="52"/>
      <c r="AG24" s="52"/>
      <c r="AH24" s="52"/>
      <c r="AI24" s="52"/>
      <c r="AJ24" s="13"/>
      <c r="AK24" s="11"/>
    </row>
    <row r="25" spans="1:37" x14ac:dyDescent="0.3">
      <c r="A25" s="33">
        <v>45707</v>
      </c>
      <c r="B25" s="1" t="s">
        <v>104</v>
      </c>
      <c r="C25" s="1" t="s">
        <v>87</v>
      </c>
      <c r="D25" s="11" t="s">
        <v>103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2"/>
      <c r="U25" s="11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3"/>
      <c r="AK25" s="11"/>
    </row>
    <row r="26" spans="1:37" x14ac:dyDescent="0.3">
      <c r="A26" s="33">
        <v>45708</v>
      </c>
      <c r="B26" s="1" t="s">
        <v>106</v>
      </c>
      <c r="C26" s="1" t="s">
        <v>87</v>
      </c>
      <c r="D26" s="11" t="s">
        <v>110</v>
      </c>
      <c r="E26" s="11"/>
      <c r="F26" s="11"/>
      <c r="G26" s="52"/>
      <c r="H26" s="52"/>
      <c r="I26" s="52"/>
      <c r="J26" s="52"/>
      <c r="K26" s="11"/>
      <c r="L26" s="52"/>
      <c r="M26" s="52"/>
      <c r="N26" s="52"/>
      <c r="O26" s="52"/>
      <c r="P26" s="11"/>
      <c r="Q26" s="52"/>
      <c r="R26" s="52"/>
      <c r="S26" s="52"/>
      <c r="T26" s="14"/>
      <c r="U26" s="11"/>
      <c r="V26" s="11"/>
      <c r="W26" s="11"/>
      <c r="X26" s="52"/>
      <c r="Y26" s="53"/>
      <c r="Z26" s="11"/>
      <c r="AA26" s="11"/>
      <c r="AB26" s="11"/>
      <c r="AC26" s="11"/>
      <c r="AD26" s="11"/>
      <c r="AE26" s="11"/>
      <c r="AF26" s="52"/>
      <c r="AG26" s="52"/>
      <c r="AH26" s="52"/>
      <c r="AI26" s="52"/>
      <c r="AJ26" s="13"/>
      <c r="AK26" s="11"/>
    </row>
    <row r="27" spans="1:37" x14ac:dyDescent="0.3">
      <c r="A27" s="33">
        <v>45710</v>
      </c>
      <c r="B27" s="1" t="s">
        <v>107</v>
      </c>
      <c r="C27" s="1" t="s">
        <v>87</v>
      </c>
      <c r="D27" s="11" t="s">
        <v>111</v>
      </c>
      <c r="E27" s="11"/>
      <c r="F27" s="1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2"/>
      <c r="U27" s="31"/>
      <c r="V27" s="31"/>
      <c r="W27" s="31"/>
      <c r="X27" s="31"/>
      <c r="Y27" s="57"/>
      <c r="Z27" s="31"/>
      <c r="AA27" s="31"/>
      <c r="AB27" s="31"/>
      <c r="AC27" s="11"/>
      <c r="AD27" s="11"/>
      <c r="AE27" s="11"/>
      <c r="AF27" s="55"/>
      <c r="AG27" s="55"/>
      <c r="AH27" s="55"/>
      <c r="AI27" s="55"/>
      <c r="AJ27" s="13"/>
      <c r="AK27" s="11"/>
    </row>
    <row r="28" spans="1:37" x14ac:dyDescent="0.3">
      <c r="A28" s="33">
        <v>45712</v>
      </c>
      <c r="B28" s="1" t="s">
        <v>108</v>
      </c>
      <c r="C28" s="1" t="s">
        <v>109</v>
      </c>
      <c r="D28" s="11" t="s">
        <v>112</v>
      </c>
      <c r="E28" s="11">
        <v>63</v>
      </c>
      <c r="F28" s="11">
        <v>7</v>
      </c>
      <c r="G28" s="11">
        <v>1</v>
      </c>
      <c r="H28" s="11">
        <v>0</v>
      </c>
      <c r="I28" s="11">
        <v>6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1">
        <v>83</v>
      </c>
      <c r="V28" s="11">
        <v>83</v>
      </c>
      <c r="W28" s="11">
        <v>17</v>
      </c>
      <c r="X28" s="11">
        <v>8</v>
      </c>
      <c r="Y28" s="13">
        <v>37650</v>
      </c>
      <c r="Z28" s="11">
        <v>5</v>
      </c>
      <c r="AA28" s="11">
        <v>0</v>
      </c>
      <c r="AB28" s="11"/>
      <c r="AC28" s="11">
        <v>0</v>
      </c>
      <c r="AD28" s="11">
        <v>1</v>
      </c>
      <c r="AE28" s="11">
        <v>3</v>
      </c>
      <c r="AF28" s="11">
        <v>0</v>
      </c>
      <c r="AG28" s="11">
        <v>0</v>
      </c>
      <c r="AH28" s="11">
        <v>3</v>
      </c>
      <c r="AI28" s="11">
        <v>0</v>
      </c>
      <c r="AJ28" s="13">
        <v>147516</v>
      </c>
      <c r="AK28" s="11">
        <v>188</v>
      </c>
    </row>
    <row r="29" spans="1:37" x14ac:dyDescent="0.3">
      <c r="A29" s="33">
        <v>45714</v>
      </c>
      <c r="B29" s="1" t="s">
        <v>113</v>
      </c>
      <c r="C29" s="1" t="s">
        <v>109</v>
      </c>
      <c r="D29" s="11" t="s">
        <v>114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2"/>
      <c r="U29" s="11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3"/>
      <c r="AK29" s="11"/>
    </row>
    <row r="30" spans="1:37" x14ac:dyDescent="0.3">
      <c r="A30" s="33">
        <v>45757</v>
      </c>
      <c r="B30" s="1" t="s">
        <v>115</v>
      </c>
      <c r="C30" s="1" t="s">
        <v>109</v>
      </c>
      <c r="D30" s="1" t="s">
        <v>116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2"/>
      <c r="U30" s="11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3"/>
      <c r="AK30" s="11"/>
    </row>
    <row r="31" spans="1:37" x14ac:dyDescent="0.3">
      <c r="A31" s="33">
        <v>45759</v>
      </c>
      <c r="B31" s="1" t="s">
        <v>117</v>
      </c>
      <c r="C31" s="1" t="s">
        <v>109</v>
      </c>
      <c r="D31" s="11" t="s">
        <v>118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2"/>
      <c r="U31" s="11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3"/>
      <c r="AK31" s="11"/>
    </row>
    <row r="32" spans="1:37" x14ac:dyDescent="0.3">
      <c r="A32" s="33">
        <v>45762</v>
      </c>
      <c r="B32" s="1" t="s">
        <v>119</v>
      </c>
      <c r="C32" s="1" t="s">
        <v>109</v>
      </c>
      <c r="D32" s="14" t="s">
        <v>120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2"/>
      <c r="U32" s="11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3"/>
      <c r="AK32" s="11"/>
    </row>
    <row r="33" spans="1:37" x14ac:dyDescent="0.3">
      <c r="A33" s="33">
        <v>45764</v>
      </c>
      <c r="B33" s="1" t="s">
        <v>121</v>
      </c>
      <c r="C33" s="1" t="s">
        <v>109</v>
      </c>
      <c r="D33" s="14" t="s">
        <v>122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2"/>
      <c r="U33" s="11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3"/>
      <c r="AK33" s="11"/>
    </row>
    <row r="34" spans="1:37" x14ac:dyDescent="0.3">
      <c r="A34" s="33">
        <v>45765</v>
      </c>
      <c r="B34" s="1" t="s">
        <v>123</v>
      </c>
      <c r="C34" s="1" t="s">
        <v>109</v>
      </c>
      <c r="D34" s="14" t="s">
        <v>124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2"/>
      <c r="U34" s="11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3"/>
      <c r="AK34" s="11"/>
    </row>
    <row r="35" spans="1:37" x14ac:dyDescent="0.3">
      <c r="A35" s="33">
        <v>45766</v>
      </c>
      <c r="B35" s="1" t="s">
        <v>125</v>
      </c>
      <c r="C35" s="1" t="s">
        <v>109</v>
      </c>
      <c r="D35" s="14" t="s">
        <v>126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2"/>
      <c r="U35" s="11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3"/>
      <c r="AK35" s="11"/>
    </row>
    <row r="36" spans="1:37" x14ac:dyDescent="0.3">
      <c r="A36" s="33">
        <v>45767</v>
      </c>
      <c r="B36" s="1" t="s">
        <v>127</v>
      </c>
      <c r="C36" s="1" t="s">
        <v>109</v>
      </c>
      <c r="D36" s="14" t="s">
        <v>128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2"/>
      <c r="U36" s="11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3"/>
      <c r="AK36" s="11"/>
    </row>
    <row r="37" spans="1:37" x14ac:dyDescent="0.3">
      <c r="A37" s="33">
        <v>45769</v>
      </c>
      <c r="B37" s="1" t="s">
        <v>129</v>
      </c>
      <c r="C37" s="1" t="s">
        <v>130</v>
      </c>
      <c r="D37" s="14" t="s">
        <v>131</v>
      </c>
      <c r="E37" s="11">
        <v>38</v>
      </c>
      <c r="F37" s="11">
        <v>42</v>
      </c>
      <c r="G37" s="11">
        <v>4</v>
      </c>
      <c r="H37" s="11">
        <v>26</v>
      </c>
      <c r="I37" s="11">
        <v>11</v>
      </c>
      <c r="J37" s="11">
        <v>1</v>
      </c>
      <c r="K37" s="11">
        <v>19</v>
      </c>
      <c r="L37" s="11">
        <v>0</v>
      </c>
      <c r="M37" s="11">
        <v>8</v>
      </c>
      <c r="N37" s="11">
        <v>11</v>
      </c>
      <c r="O37" s="11">
        <v>0</v>
      </c>
      <c r="P37" s="11">
        <v>7</v>
      </c>
      <c r="Q37" s="11">
        <v>0</v>
      </c>
      <c r="R37" s="11">
        <v>2</v>
      </c>
      <c r="S37" s="11">
        <v>5</v>
      </c>
      <c r="T37" s="12">
        <v>0</v>
      </c>
      <c r="U37" s="11">
        <v>81</v>
      </c>
      <c r="V37" s="11">
        <v>81</v>
      </c>
      <c r="W37" s="11">
        <v>9</v>
      </c>
      <c r="X37" s="11">
        <v>8</v>
      </c>
      <c r="Y37" s="13">
        <v>38600</v>
      </c>
      <c r="Z37" s="11">
        <v>11</v>
      </c>
      <c r="AA37" s="11"/>
      <c r="AB37" s="11"/>
      <c r="AC37" s="11"/>
      <c r="AD37" s="11">
        <v>11</v>
      </c>
      <c r="AE37" s="11">
        <v>11</v>
      </c>
      <c r="AF37" s="11"/>
      <c r="AG37" s="11"/>
      <c r="AH37" s="11"/>
      <c r="AI37" s="11"/>
      <c r="AJ37" s="13">
        <v>88390</v>
      </c>
      <c r="AK37" s="11">
        <v>148</v>
      </c>
    </row>
    <row r="38" spans="1:37" x14ac:dyDescent="0.3">
      <c r="A38" s="33">
        <v>45771</v>
      </c>
      <c r="B38" s="1" t="s">
        <v>132</v>
      </c>
      <c r="C38" s="1" t="s">
        <v>130</v>
      </c>
      <c r="D38" s="14" t="s">
        <v>133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2"/>
      <c r="U38" s="11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3"/>
      <c r="AK38" s="11"/>
    </row>
    <row r="39" spans="1:37" x14ac:dyDescent="0.3">
      <c r="A39" s="33">
        <v>45773</v>
      </c>
      <c r="B39" s="1" t="s">
        <v>134</v>
      </c>
      <c r="C39" s="1" t="s">
        <v>130</v>
      </c>
      <c r="D39" s="14" t="s">
        <v>133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2"/>
      <c r="U39" s="11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3"/>
      <c r="AK39" s="11"/>
    </row>
    <row r="40" spans="1:37" x14ac:dyDescent="0.3">
      <c r="A40" s="33">
        <v>45775</v>
      </c>
      <c r="B40" s="1" t="s">
        <v>135</v>
      </c>
      <c r="C40" s="1" t="s">
        <v>130</v>
      </c>
      <c r="D40" s="14" t="s">
        <v>136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2"/>
      <c r="U40" s="11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3"/>
      <c r="AK40" s="11"/>
    </row>
    <row r="41" spans="1:37" x14ac:dyDescent="0.3">
      <c r="A41" s="33">
        <v>45777</v>
      </c>
      <c r="B41" s="1" t="s">
        <v>137</v>
      </c>
      <c r="C41" s="1" t="s">
        <v>130</v>
      </c>
      <c r="D41" s="14" t="s">
        <v>141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2"/>
      <c r="U41" s="11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3"/>
      <c r="AK41" s="11"/>
    </row>
    <row r="42" spans="1:37" x14ac:dyDescent="0.3">
      <c r="A42" s="33">
        <v>45779</v>
      </c>
      <c r="B42" s="1" t="s">
        <v>138</v>
      </c>
      <c r="C42" s="1" t="s">
        <v>130</v>
      </c>
      <c r="D42" s="14" t="s">
        <v>142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2"/>
      <c r="U42" s="11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3"/>
      <c r="AK42" s="11"/>
    </row>
    <row r="43" spans="1:37" x14ac:dyDescent="0.3">
      <c r="A43" s="33">
        <v>45780</v>
      </c>
      <c r="B43" s="1" t="s">
        <v>144</v>
      </c>
      <c r="C43" s="1" t="s">
        <v>130</v>
      </c>
      <c r="D43" s="14" t="s">
        <v>145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2"/>
      <c r="U43" s="11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3"/>
      <c r="AK43" s="11"/>
    </row>
    <row r="44" spans="1:37" x14ac:dyDescent="0.3">
      <c r="A44" s="33">
        <v>45782</v>
      </c>
      <c r="B44" s="1" t="s">
        <v>139</v>
      </c>
      <c r="C44" s="1" t="s">
        <v>130</v>
      </c>
      <c r="D44" s="14" t="s">
        <v>146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2"/>
      <c r="U44" s="11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3"/>
      <c r="AK44" s="11"/>
    </row>
    <row r="45" spans="1:37" x14ac:dyDescent="0.3">
      <c r="A45" s="33">
        <v>45784</v>
      </c>
      <c r="B45" s="1" t="s">
        <v>147</v>
      </c>
      <c r="C45" s="1" t="s">
        <v>130</v>
      </c>
      <c r="D45" s="14" t="s">
        <v>148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2"/>
      <c r="U45" s="11"/>
      <c r="V45" s="11"/>
      <c r="W45" s="11"/>
      <c r="X45" s="31"/>
      <c r="Y45" s="57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3"/>
      <c r="AK45" s="11"/>
    </row>
    <row r="46" spans="1:37" x14ac:dyDescent="0.3">
      <c r="A46" s="33">
        <v>45787</v>
      </c>
      <c r="B46" s="1" t="s">
        <v>140</v>
      </c>
      <c r="C46" s="1" t="s">
        <v>130</v>
      </c>
      <c r="D46" s="14" t="s">
        <v>149</v>
      </c>
      <c r="E46" s="3"/>
      <c r="F46" s="3"/>
      <c r="G46" s="3"/>
      <c r="H46" s="3"/>
      <c r="I46" s="3"/>
      <c r="J46" s="1"/>
      <c r="K46" s="3"/>
      <c r="L46" s="3"/>
      <c r="M46" s="3"/>
      <c r="N46" s="3"/>
      <c r="O46" s="1"/>
      <c r="P46" s="3"/>
      <c r="Q46" s="3"/>
      <c r="R46" s="3"/>
      <c r="S46" s="3"/>
      <c r="T46" s="1"/>
      <c r="U46" s="3"/>
      <c r="V46" s="3"/>
      <c r="W46" s="3"/>
      <c r="X46" s="3"/>
      <c r="Y46" s="13"/>
      <c r="Z46" s="3"/>
      <c r="AA46" s="3"/>
      <c r="AB46" s="3"/>
      <c r="AC46" s="3"/>
      <c r="AD46" s="3"/>
      <c r="AE46" s="3"/>
      <c r="AF46" s="3"/>
      <c r="AG46" s="3"/>
      <c r="AH46" s="3"/>
      <c r="AI46" s="1"/>
      <c r="AJ46" s="4"/>
      <c r="AK46" s="1"/>
    </row>
    <row r="47" spans="1:37" s="10" customFormat="1" x14ac:dyDescent="0.3">
      <c r="A47" s="76" t="s">
        <v>30</v>
      </c>
      <c r="B47" s="76"/>
      <c r="C47" s="76"/>
      <c r="D47" s="76"/>
      <c r="E47" s="5">
        <f>SUM(E7:E46)</f>
        <v>197</v>
      </c>
      <c r="F47" s="5">
        <f>SUM(F7:F46)</f>
        <v>123</v>
      </c>
      <c r="G47" s="5">
        <f t="shared" ref="G47:I47" si="0">SUM(G7:G46)</f>
        <v>5</v>
      </c>
      <c r="H47" s="5">
        <f t="shared" si="0"/>
        <v>28</v>
      </c>
      <c r="I47" s="5">
        <f t="shared" si="0"/>
        <v>88</v>
      </c>
      <c r="J47" s="5">
        <f>SUM(J7:J46)</f>
        <v>2</v>
      </c>
      <c r="K47" s="5">
        <f t="shared" ref="K47" si="1">SUM(K7:K46)</f>
        <v>55</v>
      </c>
      <c r="L47" s="5">
        <f t="shared" ref="L47:N47" si="2">SUM(L7:L46)</f>
        <v>0</v>
      </c>
      <c r="M47" s="5">
        <f t="shared" si="2"/>
        <v>8</v>
      </c>
      <c r="N47" s="5">
        <f t="shared" si="2"/>
        <v>47</v>
      </c>
      <c r="O47" s="5">
        <f>SUM(O7:O46)</f>
        <v>0</v>
      </c>
      <c r="P47" s="5">
        <f t="shared" ref="P47:AI47" si="3">SUM(P7:P46)</f>
        <v>52</v>
      </c>
      <c r="Q47" s="5">
        <f t="shared" si="3"/>
        <v>0</v>
      </c>
      <c r="R47" s="5">
        <f t="shared" si="3"/>
        <v>2</v>
      </c>
      <c r="S47" s="5">
        <f t="shared" si="3"/>
        <v>50</v>
      </c>
      <c r="T47" s="5">
        <f t="shared" si="3"/>
        <v>0</v>
      </c>
      <c r="U47" s="5">
        <f>SUM(U7:U46)</f>
        <v>327</v>
      </c>
      <c r="V47" s="5">
        <f t="shared" si="3"/>
        <v>330</v>
      </c>
      <c r="W47" s="5">
        <f>SUM(W7:W46)</f>
        <v>48</v>
      </c>
      <c r="X47" s="5">
        <f t="shared" si="3"/>
        <v>19</v>
      </c>
      <c r="Y47" s="5">
        <f t="shared" si="3"/>
        <v>84050</v>
      </c>
      <c r="Z47" s="5">
        <f t="shared" si="3"/>
        <v>19</v>
      </c>
      <c r="AA47" s="5">
        <f t="shared" si="3"/>
        <v>0</v>
      </c>
      <c r="AB47" s="5">
        <f t="shared" si="3"/>
        <v>9</v>
      </c>
      <c r="AC47" s="5">
        <f t="shared" si="3"/>
        <v>0</v>
      </c>
      <c r="AD47" s="5">
        <f t="shared" si="3"/>
        <v>27</v>
      </c>
      <c r="AE47" s="5">
        <f>SUM(AE7:AE46)</f>
        <v>38</v>
      </c>
      <c r="AF47" s="5">
        <f t="shared" si="3"/>
        <v>0</v>
      </c>
      <c r="AG47" s="5">
        <f t="shared" si="3"/>
        <v>0</v>
      </c>
      <c r="AH47" s="5">
        <f t="shared" si="3"/>
        <v>27</v>
      </c>
      <c r="AI47" s="5">
        <f t="shared" si="3"/>
        <v>0</v>
      </c>
      <c r="AJ47" s="5">
        <f>SUM(AJ7:AJ46)</f>
        <v>432245</v>
      </c>
      <c r="AK47" s="5">
        <f>SUM(AK7:AK46)</f>
        <v>671</v>
      </c>
    </row>
    <row r="48" spans="1:37" x14ac:dyDescent="0.3">
      <c r="A48" s="76" t="s">
        <v>31</v>
      </c>
      <c r="B48" s="76"/>
      <c r="C48" s="76"/>
      <c r="D48" s="76"/>
      <c r="E48" s="1"/>
      <c r="F48" s="1"/>
      <c r="G48" s="1"/>
      <c r="H48" s="1"/>
      <c r="I48" s="1"/>
      <c r="J48" s="15">
        <f>J47/F47</f>
        <v>1.6260162601626018E-2</v>
      </c>
      <c r="K48" s="1"/>
      <c r="L48" s="1"/>
      <c r="M48" s="1"/>
      <c r="N48" s="1"/>
      <c r="O48" s="15">
        <f>O47/K47</f>
        <v>0</v>
      </c>
      <c r="P48" s="1"/>
      <c r="Q48" s="1"/>
      <c r="R48" s="1"/>
      <c r="S48" s="1"/>
      <c r="T48" s="15">
        <f>T47/P47</f>
        <v>0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5">
        <f>AI47/AE47</f>
        <v>0</v>
      </c>
      <c r="AJ48" s="1"/>
      <c r="AK48" s="1"/>
    </row>
    <row r="50" spans="1:37" s="10" customFormat="1" hidden="1" x14ac:dyDescent="0.3">
      <c r="A50" s="74" t="s">
        <v>33</v>
      </c>
      <c r="B50" s="75"/>
      <c r="C50" s="75"/>
      <c r="D50" s="17" t="s">
        <v>30</v>
      </c>
      <c r="E50" s="18">
        <v>526</v>
      </c>
      <c r="F50" s="18">
        <v>907</v>
      </c>
      <c r="G50" s="18">
        <v>121</v>
      </c>
      <c r="H50" s="18">
        <v>285</v>
      </c>
      <c r="I50" s="18">
        <v>388</v>
      </c>
      <c r="J50" s="18">
        <v>27</v>
      </c>
      <c r="K50" s="18">
        <v>410</v>
      </c>
      <c r="L50" s="18">
        <v>35</v>
      </c>
      <c r="M50" s="18">
        <v>179</v>
      </c>
      <c r="N50" s="18">
        <v>168</v>
      </c>
      <c r="O50" s="18">
        <v>11</v>
      </c>
      <c r="P50" s="18">
        <v>326</v>
      </c>
      <c r="Q50" s="18">
        <v>44</v>
      </c>
      <c r="R50" s="18">
        <v>69</v>
      </c>
      <c r="S50" s="18">
        <v>101</v>
      </c>
      <c r="T50" s="18">
        <v>3</v>
      </c>
      <c r="U50" s="18">
        <v>1452</v>
      </c>
      <c r="V50" s="18">
        <v>1563</v>
      </c>
      <c r="W50" s="18"/>
      <c r="X50" s="18">
        <v>59</v>
      </c>
      <c r="Y50" s="18">
        <v>379222</v>
      </c>
      <c r="Z50" s="18">
        <v>105</v>
      </c>
      <c r="AA50" s="18">
        <v>2</v>
      </c>
      <c r="AB50" s="18">
        <v>29</v>
      </c>
      <c r="AC50" s="18">
        <v>0</v>
      </c>
      <c r="AD50" s="18">
        <v>229</v>
      </c>
      <c r="AE50" s="18">
        <v>322</v>
      </c>
      <c r="AF50" s="18">
        <v>26</v>
      </c>
      <c r="AG50" s="18">
        <v>93</v>
      </c>
      <c r="AH50" s="18">
        <v>196</v>
      </c>
      <c r="AI50" s="18">
        <v>6</v>
      </c>
      <c r="AJ50" s="18">
        <v>2379684</v>
      </c>
      <c r="AK50" s="19">
        <v>4685</v>
      </c>
    </row>
    <row r="51" spans="1:37" s="10" customFormat="1" hidden="1" x14ac:dyDescent="0.3">
      <c r="A51" s="69"/>
      <c r="B51" s="70"/>
      <c r="C51" s="70"/>
      <c r="D51" s="20" t="s">
        <v>31</v>
      </c>
      <c r="E51" s="21"/>
      <c r="F51" s="21"/>
      <c r="G51" s="21"/>
      <c r="H51" s="21"/>
      <c r="I51" s="21"/>
      <c r="J51" s="21">
        <v>2.9768467475192944E-2</v>
      </c>
      <c r="K51" s="21"/>
      <c r="L51" s="21"/>
      <c r="M51" s="21"/>
      <c r="N51" s="21"/>
      <c r="O51" s="21">
        <v>2.6829268292682926E-2</v>
      </c>
      <c r="P51" s="21"/>
      <c r="Q51" s="21"/>
      <c r="R51" s="21"/>
      <c r="S51" s="21"/>
      <c r="T51" s="21">
        <v>9.202453987730062E-3</v>
      </c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>
        <v>1.8633540372670808E-2</v>
      </c>
      <c r="AJ51" s="21"/>
      <c r="AK51" s="22"/>
    </row>
    <row r="52" spans="1:37" s="10" customFormat="1" hidden="1" x14ac:dyDescent="0.3">
      <c r="A52" s="69" t="s">
        <v>34</v>
      </c>
      <c r="B52" s="70"/>
      <c r="C52" s="70"/>
      <c r="D52" s="20" t="s">
        <v>30</v>
      </c>
      <c r="E52" s="10">
        <v>526</v>
      </c>
      <c r="F52" s="10">
        <v>907</v>
      </c>
      <c r="G52" s="10">
        <v>103</v>
      </c>
      <c r="H52" s="10">
        <v>225</v>
      </c>
      <c r="I52" s="10">
        <v>547</v>
      </c>
      <c r="J52" s="10">
        <v>33</v>
      </c>
      <c r="K52" s="10">
        <v>410</v>
      </c>
      <c r="L52" s="10">
        <v>28</v>
      </c>
      <c r="M52" s="10">
        <v>134</v>
      </c>
      <c r="N52" s="10">
        <v>237</v>
      </c>
      <c r="O52" s="10">
        <v>12</v>
      </c>
      <c r="P52" s="10">
        <v>326</v>
      </c>
      <c r="Q52" s="10">
        <v>43</v>
      </c>
      <c r="R52" s="10">
        <v>72</v>
      </c>
      <c r="S52" s="10">
        <v>208</v>
      </c>
      <c r="T52" s="10">
        <v>3</v>
      </c>
      <c r="U52" s="10">
        <v>1452</v>
      </c>
      <c r="V52" s="10">
        <v>1563</v>
      </c>
      <c r="X52" s="10">
        <v>183</v>
      </c>
      <c r="Y52" s="10">
        <v>873386</v>
      </c>
      <c r="Z52" s="10">
        <v>105</v>
      </c>
      <c r="AA52" s="10">
        <v>2</v>
      </c>
      <c r="AB52" s="10">
        <v>29</v>
      </c>
      <c r="AC52" s="10">
        <v>0</v>
      </c>
      <c r="AD52" s="10">
        <v>229</v>
      </c>
      <c r="AE52" s="10">
        <v>322</v>
      </c>
      <c r="AF52" s="10">
        <v>19</v>
      </c>
      <c r="AG52" s="10">
        <v>73</v>
      </c>
      <c r="AH52" s="10">
        <v>205</v>
      </c>
      <c r="AI52" s="10">
        <v>6</v>
      </c>
      <c r="AJ52" s="10">
        <v>2379684</v>
      </c>
      <c r="AK52" s="23">
        <v>4685</v>
      </c>
    </row>
    <row r="53" spans="1:37" s="16" customFormat="1" hidden="1" x14ac:dyDescent="0.3">
      <c r="A53" s="69"/>
      <c r="B53" s="70"/>
      <c r="C53" s="70"/>
      <c r="D53" s="20" t="s">
        <v>31</v>
      </c>
      <c r="J53" s="16">
        <v>3.6383682469680267E-2</v>
      </c>
      <c r="O53" s="16">
        <v>2.9268292682926831E-2</v>
      </c>
      <c r="T53" s="16">
        <v>9.202453987730062E-3</v>
      </c>
      <c r="AI53" s="16">
        <v>1.8633540372670808E-2</v>
      </c>
      <c r="AK53" s="26"/>
    </row>
    <row r="54" spans="1:37" hidden="1" x14ac:dyDescent="0.3">
      <c r="A54" s="69" t="s">
        <v>35</v>
      </c>
      <c r="B54" s="70"/>
      <c r="C54" s="70"/>
      <c r="D54" s="20" t="s">
        <v>30</v>
      </c>
      <c r="E54" s="27">
        <v>526</v>
      </c>
      <c r="F54" s="27">
        <v>907</v>
      </c>
      <c r="G54" s="27">
        <v>69</v>
      </c>
      <c r="H54" s="27">
        <v>175</v>
      </c>
      <c r="I54" s="27">
        <v>630</v>
      </c>
      <c r="J54" s="27">
        <v>33</v>
      </c>
      <c r="K54" s="27">
        <v>410</v>
      </c>
      <c r="L54" s="27">
        <v>14</v>
      </c>
      <c r="M54" s="27">
        <v>74</v>
      </c>
      <c r="N54" s="27">
        <v>308</v>
      </c>
      <c r="O54" s="27">
        <v>14</v>
      </c>
      <c r="P54" s="27">
        <v>326</v>
      </c>
      <c r="Q54" s="27">
        <v>34</v>
      </c>
      <c r="R54" s="27">
        <v>62</v>
      </c>
      <c r="S54" s="27">
        <v>227</v>
      </c>
      <c r="T54" s="27">
        <v>3</v>
      </c>
      <c r="U54" s="27">
        <v>1452</v>
      </c>
      <c r="V54" s="27">
        <v>1563</v>
      </c>
      <c r="W54" s="27"/>
      <c r="X54" s="27">
        <v>279</v>
      </c>
      <c r="Y54" s="27">
        <v>1324917</v>
      </c>
      <c r="Z54" s="27">
        <v>105</v>
      </c>
      <c r="AA54" s="27">
        <v>2</v>
      </c>
      <c r="AB54" s="27">
        <v>29</v>
      </c>
      <c r="AC54" s="27">
        <v>0</v>
      </c>
      <c r="AD54" s="27">
        <v>229</v>
      </c>
      <c r="AE54" s="27">
        <v>322</v>
      </c>
      <c r="AF54" s="27">
        <v>16</v>
      </c>
      <c r="AG54" s="27">
        <v>74</v>
      </c>
      <c r="AH54" s="27">
        <v>206</v>
      </c>
      <c r="AI54" s="27">
        <v>7</v>
      </c>
      <c r="AJ54" s="27">
        <v>2379684</v>
      </c>
      <c r="AK54" s="28">
        <v>4685</v>
      </c>
    </row>
    <row r="55" spans="1:37" ht="15" hidden="1" thickBot="1" x14ac:dyDescent="0.35">
      <c r="A55" s="71"/>
      <c r="B55" s="72"/>
      <c r="C55" s="72"/>
      <c r="D55" s="24" t="s">
        <v>31</v>
      </c>
      <c r="E55" s="25"/>
      <c r="F55" s="25"/>
      <c r="G55" s="25"/>
      <c r="H55" s="25"/>
      <c r="I55" s="25"/>
      <c r="J55" s="29">
        <v>3.6383682469680267E-2</v>
      </c>
      <c r="K55" s="29"/>
      <c r="L55" s="29"/>
      <c r="M55" s="29"/>
      <c r="N55" s="29"/>
      <c r="O55" s="29">
        <v>3.4146341463414637E-2</v>
      </c>
      <c r="P55" s="29"/>
      <c r="Q55" s="29"/>
      <c r="R55" s="29"/>
      <c r="S55" s="29"/>
      <c r="T55" s="29">
        <v>9.202453987730062E-3</v>
      </c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>
        <v>2.1739130434782608E-2</v>
      </c>
      <c r="AJ55" s="29"/>
      <c r="AK55" s="30"/>
    </row>
  </sheetData>
  <autoFilter ref="A6:AN48" xr:uid="{3907FEF9-3ABC-414C-A3DC-B16B896EA93C}"/>
  <mergeCells count="21">
    <mergeCell ref="A54:C55"/>
    <mergeCell ref="E4:AB4"/>
    <mergeCell ref="AD4:AI4"/>
    <mergeCell ref="AK4:AK6"/>
    <mergeCell ref="F5:J5"/>
    <mergeCell ref="K5:O5"/>
    <mergeCell ref="P5:T5"/>
    <mergeCell ref="Z5:AA5"/>
    <mergeCell ref="AB5:AC5"/>
    <mergeCell ref="AE5:AI5"/>
    <mergeCell ref="AJ5:AJ6"/>
    <mergeCell ref="A52:C53"/>
    <mergeCell ref="A50:C51"/>
    <mergeCell ref="A47:D47"/>
    <mergeCell ref="A48:D48"/>
    <mergeCell ref="A1:D1"/>
    <mergeCell ref="A3:C3"/>
    <mergeCell ref="A4:A6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7E74-6477-4090-8C1F-C8068FBEB274}">
  <dimension ref="A1:AQ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5" sqref="C15"/>
    </sheetView>
  </sheetViews>
  <sheetFormatPr defaultColWidth="9.21875" defaultRowHeight="14.4" x14ac:dyDescent="0.3"/>
  <cols>
    <col min="1" max="1" width="18" style="39" bestFit="1" customWidth="1"/>
    <col min="2" max="2" width="18.5546875" style="39" customWidth="1"/>
    <col min="3" max="3" width="11.77734375" style="39" customWidth="1"/>
    <col min="4" max="4" width="14.44140625" style="39" customWidth="1"/>
    <col min="5" max="10" width="11.77734375" style="39" customWidth="1"/>
    <col min="11" max="14" width="10.77734375" style="39" customWidth="1"/>
    <col min="15" max="18" width="12.21875" style="39" customWidth="1"/>
    <col min="19" max="19" width="13.5546875" style="39" customWidth="1"/>
    <col min="20" max="21" width="12.21875" style="39" customWidth="1"/>
    <col min="22" max="38" width="15.44140625" style="39" customWidth="1"/>
    <col min="39" max="39" width="16.77734375" style="39" bestFit="1" customWidth="1"/>
    <col min="40" max="42" width="16" style="39" customWidth="1"/>
    <col min="43" max="16384" width="9.21875" style="39"/>
  </cols>
  <sheetData>
    <row r="1" spans="1:43" x14ac:dyDescent="0.3">
      <c r="A1" s="38" t="s">
        <v>49</v>
      </c>
    </row>
    <row r="2" spans="1:43" x14ac:dyDescent="0.3">
      <c r="A2" s="34" t="s">
        <v>39</v>
      </c>
      <c r="B2" s="36">
        <v>45673</v>
      </c>
      <c r="C2" s="36">
        <v>45675</v>
      </c>
      <c r="D2" s="36">
        <v>45677</v>
      </c>
      <c r="E2" s="36">
        <v>45678</v>
      </c>
      <c r="F2" s="36">
        <v>45680</v>
      </c>
      <c r="G2" s="36">
        <v>45682</v>
      </c>
      <c r="H2" s="36">
        <v>45683</v>
      </c>
      <c r="I2" s="36">
        <v>45685</v>
      </c>
      <c r="J2" s="36">
        <v>45687</v>
      </c>
      <c r="K2" s="36">
        <v>45689</v>
      </c>
      <c r="L2" s="36">
        <v>45691</v>
      </c>
      <c r="M2" s="36">
        <v>45693</v>
      </c>
      <c r="N2" s="36">
        <v>45696</v>
      </c>
      <c r="O2" s="36">
        <v>45698</v>
      </c>
      <c r="P2" s="36">
        <v>45699</v>
      </c>
      <c r="Q2" s="36">
        <v>45701</v>
      </c>
      <c r="R2" s="36">
        <v>45703</v>
      </c>
      <c r="S2" s="36">
        <v>45705</v>
      </c>
      <c r="T2" s="36">
        <v>45707</v>
      </c>
      <c r="U2" s="36">
        <v>45708</v>
      </c>
      <c r="V2" s="36">
        <v>45710</v>
      </c>
      <c r="W2" s="36">
        <v>45712</v>
      </c>
      <c r="X2" s="36">
        <v>45714</v>
      </c>
      <c r="Y2" s="36">
        <v>45757</v>
      </c>
      <c r="Z2" s="36">
        <v>45759</v>
      </c>
      <c r="AA2" s="36">
        <v>45762</v>
      </c>
      <c r="AB2" s="36">
        <v>45764</v>
      </c>
      <c r="AC2" s="36">
        <v>45765</v>
      </c>
      <c r="AD2" s="36">
        <v>45766</v>
      </c>
      <c r="AE2" s="36">
        <v>45767</v>
      </c>
      <c r="AF2" s="36">
        <v>45769</v>
      </c>
      <c r="AG2" s="36">
        <v>45771</v>
      </c>
      <c r="AH2" s="36">
        <v>45773</v>
      </c>
      <c r="AI2" s="36">
        <v>45775</v>
      </c>
      <c r="AJ2" s="36">
        <v>45777</v>
      </c>
      <c r="AK2" s="36">
        <v>45779</v>
      </c>
      <c r="AL2" s="36">
        <v>45780</v>
      </c>
      <c r="AM2" s="36">
        <v>45782</v>
      </c>
      <c r="AN2" s="36">
        <v>45784</v>
      </c>
      <c r="AO2" s="36">
        <v>45787</v>
      </c>
      <c r="AP2" s="36"/>
    </row>
    <row r="3" spans="1:43" ht="28.8" x14ac:dyDescent="0.3">
      <c r="A3" s="56" t="s">
        <v>40</v>
      </c>
      <c r="B3" s="37" t="s">
        <v>32</v>
      </c>
      <c r="C3" s="37" t="s">
        <v>47</v>
      </c>
      <c r="D3" s="40" t="s">
        <v>64</v>
      </c>
      <c r="E3" s="37" t="s">
        <v>62</v>
      </c>
      <c r="F3" s="37" t="s">
        <v>65</v>
      </c>
      <c r="G3" s="37" t="s">
        <v>71</v>
      </c>
      <c r="H3" s="40" t="s">
        <v>75</v>
      </c>
      <c r="I3" s="37" t="s">
        <v>78</v>
      </c>
      <c r="J3" s="37" t="s">
        <v>81</v>
      </c>
      <c r="K3" s="37" t="s">
        <v>82</v>
      </c>
      <c r="L3" s="37" t="s">
        <v>85</v>
      </c>
      <c r="M3" s="37" t="s">
        <v>86</v>
      </c>
      <c r="N3" s="37" t="s">
        <v>89</v>
      </c>
      <c r="O3" s="37" t="s">
        <v>91</v>
      </c>
      <c r="P3" s="37" t="s">
        <v>93</v>
      </c>
      <c r="Q3" s="37" t="s">
        <v>97</v>
      </c>
      <c r="R3" s="37" t="s">
        <v>100</v>
      </c>
      <c r="S3" s="37" t="s">
        <v>102</v>
      </c>
      <c r="T3" s="37" t="s">
        <v>105</v>
      </c>
      <c r="U3" s="37" t="s">
        <v>106</v>
      </c>
      <c r="V3" s="37" t="s">
        <v>107</v>
      </c>
      <c r="W3" s="37" t="s">
        <v>108</v>
      </c>
      <c r="X3" s="37" t="s">
        <v>113</v>
      </c>
      <c r="Y3" s="37" t="s">
        <v>115</v>
      </c>
      <c r="Z3" s="37" t="s">
        <v>117</v>
      </c>
      <c r="AA3" s="37" t="s">
        <v>119</v>
      </c>
      <c r="AB3" s="37" t="s">
        <v>121</v>
      </c>
      <c r="AC3" s="37" t="s">
        <v>123</v>
      </c>
      <c r="AD3" s="37" t="s">
        <v>125</v>
      </c>
      <c r="AE3" s="37" t="s">
        <v>127</v>
      </c>
      <c r="AF3" s="37" t="s">
        <v>129</v>
      </c>
      <c r="AG3" s="37" t="s">
        <v>132</v>
      </c>
      <c r="AH3" s="37" t="s">
        <v>134</v>
      </c>
      <c r="AI3" s="37" t="s">
        <v>135</v>
      </c>
      <c r="AJ3" s="37" t="s">
        <v>137</v>
      </c>
      <c r="AK3" s="37" t="s">
        <v>143</v>
      </c>
      <c r="AL3" s="37" t="s">
        <v>144</v>
      </c>
      <c r="AM3" s="40" t="s">
        <v>150</v>
      </c>
      <c r="AN3" s="37" t="s">
        <v>147</v>
      </c>
      <c r="AO3" s="37" t="s">
        <v>140</v>
      </c>
      <c r="AP3" s="37" t="s">
        <v>58</v>
      </c>
    </row>
    <row r="4" spans="1:43" x14ac:dyDescent="0.3">
      <c r="A4" s="35" t="s">
        <v>50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4">
        <f>SUM(B4:AO4)</f>
        <v>40</v>
      </c>
      <c r="AQ4" s="61">
        <f>AP4/$AP$13</f>
        <v>0.10752688172043011</v>
      </c>
    </row>
    <row r="5" spans="1:43" x14ac:dyDescent="0.3">
      <c r="A5" s="35" t="s">
        <v>51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4">
        <f t="shared" ref="AP5:AP12" si="0">SUM(B5:AO5)</f>
        <v>40</v>
      </c>
      <c r="AQ5" s="61">
        <f t="shared" ref="AQ5:AQ13" si="1">AP5/$AP$13</f>
        <v>0.10752688172043011</v>
      </c>
    </row>
    <row r="6" spans="1:43" x14ac:dyDescent="0.3">
      <c r="A6" s="35" t="s">
        <v>52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4">
        <f t="shared" si="0"/>
        <v>40</v>
      </c>
      <c r="AQ6" s="61">
        <f t="shared" si="1"/>
        <v>0.10752688172043011</v>
      </c>
    </row>
    <row r="7" spans="1:43" x14ac:dyDescent="0.3">
      <c r="A7" s="35" t="s">
        <v>53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4">
        <f t="shared" si="0"/>
        <v>40</v>
      </c>
      <c r="AQ7" s="61">
        <f t="shared" si="1"/>
        <v>0.10752688172043011</v>
      </c>
    </row>
    <row r="8" spans="1:43" x14ac:dyDescent="0.3">
      <c r="A8" s="35" t="s">
        <v>54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4">
        <f t="shared" si="0"/>
        <v>40</v>
      </c>
      <c r="AQ8" s="61">
        <f t="shared" si="1"/>
        <v>0.10752688172043011</v>
      </c>
    </row>
    <row r="9" spans="1:43" x14ac:dyDescent="0.3">
      <c r="A9" s="35" t="s">
        <v>55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4">
        <f t="shared" si="0"/>
        <v>40</v>
      </c>
      <c r="AQ9" s="61">
        <f t="shared" si="1"/>
        <v>0.10752688172043011</v>
      </c>
    </row>
    <row r="10" spans="1:43" x14ac:dyDescent="0.3">
      <c r="A10" s="35" t="s">
        <v>56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4">
        <f t="shared" si="0"/>
        <v>40</v>
      </c>
      <c r="AQ10" s="61">
        <f t="shared" si="1"/>
        <v>0.10752688172043011</v>
      </c>
    </row>
    <row r="11" spans="1:43" x14ac:dyDescent="0.3">
      <c r="A11" s="35" t="s">
        <v>57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4">
        <f t="shared" si="0"/>
        <v>40</v>
      </c>
      <c r="AQ11" s="61">
        <f t="shared" si="1"/>
        <v>0.10752688172043011</v>
      </c>
    </row>
    <row r="12" spans="1:43" x14ac:dyDescent="0.3">
      <c r="A12" s="35" t="s">
        <v>59</v>
      </c>
      <c r="B12" s="1"/>
      <c r="C12" s="1">
        <v>2</v>
      </c>
      <c r="D12" s="1"/>
      <c r="E12" s="1"/>
      <c r="F12" s="1">
        <v>7</v>
      </c>
      <c r="G12" s="1">
        <v>1</v>
      </c>
      <c r="H12" s="1">
        <v>2</v>
      </c>
      <c r="I12" s="1">
        <v>3</v>
      </c>
      <c r="J12" s="1">
        <v>3</v>
      </c>
      <c r="K12" s="1">
        <v>6</v>
      </c>
      <c r="L12" s="1">
        <v>5</v>
      </c>
      <c r="M12" s="1">
        <v>1</v>
      </c>
      <c r="N12" s="1"/>
      <c r="O12" s="1"/>
      <c r="P12" s="1"/>
      <c r="Q12" s="1"/>
      <c r="R12" s="1">
        <v>4</v>
      </c>
      <c r="S12" s="1">
        <v>1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>
        <v>1</v>
      </c>
      <c r="AE12" s="1">
        <v>1</v>
      </c>
      <c r="AF12" s="1"/>
      <c r="AG12" s="1"/>
      <c r="AH12" s="1"/>
      <c r="AI12" s="1">
        <v>10</v>
      </c>
      <c r="AJ12" s="1"/>
      <c r="AK12" s="1"/>
      <c r="AL12" s="1">
        <v>5</v>
      </c>
      <c r="AM12" s="1"/>
      <c r="AN12" s="1"/>
      <c r="AO12" s="1"/>
      <c r="AP12" s="4">
        <f t="shared" si="0"/>
        <v>52</v>
      </c>
      <c r="AQ12" s="61">
        <f t="shared" si="1"/>
        <v>0.13978494623655913</v>
      </c>
    </row>
    <row r="13" spans="1:43" x14ac:dyDescent="0.3">
      <c r="A13" s="34" t="s">
        <v>58</v>
      </c>
      <c r="B13" s="37">
        <f>SUM(B4:B11)</f>
        <v>8</v>
      </c>
      <c r="C13" s="37">
        <f t="shared" ref="C13:I13" si="2">SUM(C4:C12)</f>
        <v>10</v>
      </c>
      <c r="D13" s="37">
        <f t="shared" si="2"/>
        <v>8</v>
      </c>
      <c r="E13" s="37">
        <f t="shared" si="2"/>
        <v>8</v>
      </c>
      <c r="F13" s="37">
        <f t="shared" si="2"/>
        <v>15</v>
      </c>
      <c r="G13" s="37">
        <f t="shared" si="2"/>
        <v>9</v>
      </c>
      <c r="H13" s="37">
        <f t="shared" si="2"/>
        <v>10</v>
      </c>
      <c r="I13" s="37">
        <f t="shared" si="2"/>
        <v>11</v>
      </c>
      <c r="J13" s="37">
        <f t="shared" ref="J13:O13" si="3">SUM(J4:J12)</f>
        <v>11</v>
      </c>
      <c r="K13" s="37">
        <f t="shared" si="3"/>
        <v>14</v>
      </c>
      <c r="L13" s="37">
        <f t="shared" si="3"/>
        <v>13</v>
      </c>
      <c r="M13" s="37">
        <f t="shared" si="3"/>
        <v>9</v>
      </c>
      <c r="N13" s="37">
        <f t="shared" si="3"/>
        <v>8</v>
      </c>
      <c r="O13" s="37">
        <f t="shared" si="3"/>
        <v>8</v>
      </c>
      <c r="P13" s="37">
        <f t="shared" ref="P13:T13" si="4">SUM(P4:P12)</f>
        <v>8</v>
      </c>
      <c r="Q13" s="37">
        <f t="shared" si="4"/>
        <v>8</v>
      </c>
      <c r="R13" s="37">
        <f t="shared" si="4"/>
        <v>12</v>
      </c>
      <c r="S13" s="37">
        <f t="shared" si="4"/>
        <v>9</v>
      </c>
      <c r="T13" s="37">
        <f t="shared" si="4"/>
        <v>8</v>
      </c>
      <c r="U13" s="37">
        <f t="shared" ref="U13:W13" si="5">SUM(U4:U12)</f>
        <v>8</v>
      </c>
      <c r="V13" s="37">
        <f t="shared" si="5"/>
        <v>8</v>
      </c>
      <c r="W13" s="37">
        <f t="shared" si="5"/>
        <v>8</v>
      </c>
      <c r="X13" s="37">
        <f t="shared" ref="X13:Y13" si="6">SUM(X4:X12)</f>
        <v>8</v>
      </c>
      <c r="Y13" s="37">
        <f t="shared" si="6"/>
        <v>8</v>
      </c>
      <c r="Z13" s="37">
        <f t="shared" ref="Z13:AH13" si="7">SUM(Z4:Z12)</f>
        <v>8</v>
      </c>
      <c r="AA13" s="37">
        <f t="shared" si="7"/>
        <v>8</v>
      </c>
      <c r="AB13" s="37">
        <f t="shared" si="7"/>
        <v>8</v>
      </c>
      <c r="AC13" s="37">
        <f t="shared" si="7"/>
        <v>8</v>
      </c>
      <c r="AD13" s="37">
        <f t="shared" si="7"/>
        <v>9</v>
      </c>
      <c r="AE13" s="37">
        <f t="shared" si="7"/>
        <v>9</v>
      </c>
      <c r="AF13" s="37">
        <f t="shared" si="7"/>
        <v>8</v>
      </c>
      <c r="AG13" s="37">
        <f t="shared" si="7"/>
        <v>8</v>
      </c>
      <c r="AH13" s="37">
        <f t="shared" si="7"/>
        <v>8</v>
      </c>
      <c r="AI13" s="37">
        <f t="shared" ref="AI13:AP13" si="8">SUM(AI4:AI12)</f>
        <v>18</v>
      </c>
      <c r="AJ13" s="37">
        <f t="shared" si="8"/>
        <v>8</v>
      </c>
      <c r="AK13" s="37">
        <f t="shared" si="8"/>
        <v>8</v>
      </c>
      <c r="AL13" s="37">
        <f t="shared" si="8"/>
        <v>13</v>
      </c>
      <c r="AM13" s="37">
        <f t="shared" si="8"/>
        <v>8</v>
      </c>
      <c r="AN13" s="37">
        <f t="shared" si="8"/>
        <v>8</v>
      </c>
      <c r="AO13" s="37">
        <f t="shared" si="8"/>
        <v>8</v>
      </c>
      <c r="AP13" s="5">
        <f t="shared" si="8"/>
        <v>372</v>
      </c>
      <c r="AQ13" s="61">
        <f t="shared" si="1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0D6A-F27F-42E5-B2A6-9CFCD7CC3305}">
  <dimension ref="B4:AQ33"/>
  <sheetViews>
    <sheetView tabSelected="1" zoomScaleNormal="100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C34" sqref="C34"/>
    </sheetView>
  </sheetViews>
  <sheetFormatPr defaultRowHeight="14.4" x14ac:dyDescent="0.3"/>
  <cols>
    <col min="2" max="2" width="35.44140625" bestFit="1" customWidth="1"/>
    <col min="3" max="4" width="18.5546875" customWidth="1"/>
    <col min="5" max="43" width="23.77734375" customWidth="1"/>
  </cols>
  <sheetData>
    <row r="4" spans="2:43" x14ac:dyDescent="0.3">
      <c r="B4" s="43" t="s">
        <v>0</v>
      </c>
      <c r="C4" s="37" t="s">
        <v>11</v>
      </c>
      <c r="D4" s="37" t="s">
        <v>11</v>
      </c>
      <c r="E4" s="37" t="s">
        <v>11</v>
      </c>
      <c r="F4" s="37" t="s">
        <v>11</v>
      </c>
      <c r="G4" s="37" t="s">
        <v>11</v>
      </c>
      <c r="H4" s="37" t="s">
        <v>11</v>
      </c>
      <c r="I4" s="37" t="s">
        <v>11</v>
      </c>
      <c r="J4" s="37" t="s">
        <v>11</v>
      </c>
      <c r="K4" s="37" t="s">
        <v>11</v>
      </c>
      <c r="L4" s="37" t="s">
        <v>11</v>
      </c>
      <c r="M4" s="37" t="s">
        <v>11</v>
      </c>
      <c r="N4" s="37" t="s">
        <v>87</v>
      </c>
      <c r="O4" s="37" t="s">
        <v>87</v>
      </c>
      <c r="P4" s="37" t="s">
        <v>87</v>
      </c>
      <c r="Q4" s="37" t="s">
        <v>87</v>
      </c>
      <c r="R4" s="37" t="s">
        <v>87</v>
      </c>
      <c r="S4" s="37" t="s">
        <v>87</v>
      </c>
      <c r="T4" s="37" t="s">
        <v>87</v>
      </c>
      <c r="U4" s="37" t="s">
        <v>87</v>
      </c>
      <c r="V4" s="37" t="s">
        <v>87</v>
      </c>
      <c r="W4" s="37" t="s">
        <v>87</v>
      </c>
      <c r="X4" s="37" t="s">
        <v>109</v>
      </c>
      <c r="Y4" s="37" t="s">
        <v>109</v>
      </c>
      <c r="Z4" s="37" t="s">
        <v>109</v>
      </c>
      <c r="AA4" s="37" t="s">
        <v>109</v>
      </c>
      <c r="AB4" s="37" t="s">
        <v>109</v>
      </c>
      <c r="AC4" s="37" t="s">
        <v>109</v>
      </c>
      <c r="AD4" s="37" t="s">
        <v>109</v>
      </c>
      <c r="AE4" s="37" t="s">
        <v>109</v>
      </c>
      <c r="AF4" s="37" t="s">
        <v>109</v>
      </c>
      <c r="AG4" s="37" t="s">
        <v>130</v>
      </c>
      <c r="AH4" s="37" t="s">
        <v>130</v>
      </c>
      <c r="AI4" s="37" t="s">
        <v>130</v>
      </c>
      <c r="AJ4" s="37" t="s">
        <v>130</v>
      </c>
      <c r="AK4" s="37" t="s">
        <v>130</v>
      </c>
      <c r="AL4" s="37" t="s">
        <v>130</v>
      </c>
      <c r="AM4" s="37" t="s">
        <v>130</v>
      </c>
      <c r="AN4" s="37" t="s">
        <v>130</v>
      </c>
      <c r="AO4" s="37" t="s">
        <v>130</v>
      </c>
      <c r="AP4" s="37" t="s">
        <v>130</v>
      </c>
      <c r="AQ4" s="37" t="s">
        <v>58</v>
      </c>
    </row>
    <row r="5" spans="2:43" x14ac:dyDescent="0.3">
      <c r="B5" s="34" t="s">
        <v>39</v>
      </c>
      <c r="C5" s="36">
        <v>45673</v>
      </c>
      <c r="D5" s="36">
        <v>45675</v>
      </c>
      <c r="E5" s="36">
        <v>45677</v>
      </c>
      <c r="F5" s="36">
        <v>45678</v>
      </c>
      <c r="G5" s="36">
        <v>45680</v>
      </c>
      <c r="H5" s="36">
        <v>45682</v>
      </c>
      <c r="I5" s="36">
        <v>45683</v>
      </c>
      <c r="J5" s="36">
        <v>45685</v>
      </c>
      <c r="K5" s="36">
        <v>45687</v>
      </c>
      <c r="L5" s="36">
        <v>45689</v>
      </c>
      <c r="M5" s="36">
        <v>45691</v>
      </c>
      <c r="N5" s="36">
        <v>45693</v>
      </c>
      <c r="O5" s="36">
        <v>45696</v>
      </c>
      <c r="P5" s="36">
        <v>45698</v>
      </c>
      <c r="Q5" s="36">
        <v>45699</v>
      </c>
      <c r="R5" s="36">
        <v>45701</v>
      </c>
      <c r="S5" s="36">
        <v>45703</v>
      </c>
      <c r="T5" s="36">
        <v>45705</v>
      </c>
      <c r="U5" s="36">
        <v>45707</v>
      </c>
      <c r="V5" s="36">
        <v>45708</v>
      </c>
      <c r="W5" s="36">
        <v>45710</v>
      </c>
      <c r="X5" s="36">
        <v>45712</v>
      </c>
      <c r="Y5" s="36">
        <v>45714</v>
      </c>
      <c r="Z5" s="36">
        <v>45757</v>
      </c>
      <c r="AA5" s="36">
        <v>45759</v>
      </c>
      <c r="AB5" s="36">
        <v>45762</v>
      </c>
      <c r="AC5" s="36">
        <v>45764</v>
      </c>
      <c r="AD5" s="36">
        <v>45765</v>
      </c>
      <c r="AE5" s="36">
        <v>45766</v>
      </c>
      <c r="AF5" s="36">
        <v>45767</v>
      </c>
      <c r="AG5" s="36">
        <v>45769</v>
      </c>
      <c r="AH5" s="36">
        <v>45771</v>
      </c>
      <c r="AI5" s="36">
        <v>45773</v>
      </c>
      <c r="AJ5" s="36">
        <v>45775</v>
      </c>
      <c r="AK5" s="36">
        <v>45777</v>
      </c>
      <c r="AL5" s="36">
        <v>45779</v>
      </c>
      <c r="AM5" s="36">
        <v>45780</v>
      </c>
      <c r="AN5" s="36">
        <v>45782</v>
      </c>
      <c r="AO5" s="36">
        <v>45784</v>
      </c>
      <c r="AP5" s="36">
        <v>45787</v>
      </c>
      <c r="AQ5" s="36"/>
    </row>
    <row r="6" spans="2:43" x14ac:dyDescent="0.3">
      <c r="B6" s="34" t="s">
        <v>40</v>
      </c>
      <c r="C6" s="37" t="s">
        <v>32</v>
      </c>
      <c r="D6" s="37" t="s">
        <v>47</v>
      </c>
      <c r="E6" s="37" t="s">
        <v>60</v>
      </c>
      <c r="F6" s="37" t="s">
        <v>62</v>
      </c>
      <c r="G6" s="37" t="s">
        <v>65</v>
      </c>
      <c r="H6" s="37" t="s">
        <v>71</v>
      </c>
      <c r="I6" s="37" t="s">
        <v>73</v>
      </c>
      <c r="J6" s="37" t="s">
        <v>78</v>
      </c>
      <c r="K6" s="37" t="s">
        <v>81</v>
      </c>
      <c r="L6" s="37" t="s">
        <v>82</v>
      </c>
      <c r="M6" s="37" t="s">
        <v>85</v>
      </c>
      <c r="N6" s="37" t="s">
        <v>86</v>
      </c>
      <c r="O6" s="37" t="s">
        <v>89</v>
      </c>
      <c r="P6" s="37" t="s">
        <v>91</v>
      </c>
      <c r="Q6" s="37" t="s">
        <v>93</v>
      </c>
      <c r="R6" s="37" t="s">
        <v>97</v>
      </c>
      <c r="S6" s="37" t="s">
        <v>100</v>
      </c>
      <c r="T6" s="37" t="s">
        <v>102</v>
      </c>
      <c r="U6" s="37" t="s">
        <v>105</v>
      </c>
      <c r="V6" s="37" t="s">
        <v>106</v>
      </c>
      <c r="W6" s="37" t="s">
        <v>107</v>
      </c>
      <c r="X6" s="37" t="s">
        <v>108</v>
      </c>
      <c r="Y6" s="37" t="s">
        <v>113</v>
      </c>
      <c r="Z6" s="37" t="s">
        <v>115</v>
      </c>
      <c r="AA6" s="37" t="s">
        <v>117</v>
      </c>
      <c r="AB6" s="37" t="s">
        <v>119</v>
      </c>
      <c r="AC6" s="37" t="s">
        <v>121</v>
      </c>
      <c r="AD6" s="37" t="s">
        <v>123</v>
      </c>
      <c r="AE6" s="37" t="s">
        <v>125</v>
      </c>
      <c r="AF6" s="37" t="s">
        <v>127</v>
      </c>
      <c r="AG6" s="37" t="s">
        <v>129</v>
      </c>
      <c r="AH6" s="37" t="s">
        <v>132</v>
      </c>
      <c r="AI6" s="37" t="s">
        <v>134</v>
      </c>
      <c r="AJ6" s="37" t="s">
        <v>135</v>
      </c>
      <c r="AK6" s="37" t="s">
        <v>137</v>
      </c>
      <c r="AL6" s="37" t="s">
        <v>138</v>
      </c>
      <c r="AM6" s="37" t="s">
        <v>144</v>
      </c>
      <c r="AN6" s="37" t="s">
        <v>139</v>
      </c>
      <c r="AO6" s="37" t="s">
        <v>147</v>
      </c>
      <c r="AP6" s="37" t="s">
        <v>140</v>
      </c>
      <c r="AQ6" s="37"/>
    </row>
    <row r="7" spans="2:43" x14ac:dyDescent="0.3">
      <c r="B7" s="35" t="s">
        <v>46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4">
        <f>SUM(C7:AP7)</f>
        <v>40</v>
      </c>
    </row>
    <row r="8" spans="2:43" x14ac:dyDescent="0.3">
      <c r="B8" s="41" t="s">
        <v>70</v>
      </c>
      <c r="C8" s="1"/>
      <c r="D8" s="1"/>
      <c r="E8" s="1"/>
      <c r="F8" s="37">
        <v>1</v>
      </c>
      <c r="G8" s="37">
        <v>4</v>
      </c>
      <c r="H8" s="37"/>
      <c r="I8" s="37">
        <v>2</v>
      </c>
      <c r="J8" s="37">
        <v>2</v>
      </c>
      <c r="K8" s="37">
        <v>1</v>
      </c>
      <c r="L8" s="37"/>
      <c r="M8" s="37"/>
      <c r="N8" s="37">
        <v>1</v>
      </c>
      <c r="O8" s="37"/>
      <c r="P8" s="37">
        <v>1</v>
      </c>
      <c r="Q8" s="37">
        <v>1</v>
      </c>
      <c r="R8" s="37"/>
      <c r="S8" s="37">
        <v>1</v>
      </c>
      <c r="T8" s="37"/>
      <c r="U8" s="37"/>
      <c r="V8" s="37">
        <v>1</v>
      </c>
      <c r="W8" s="37">
        <v>1</v>
      </c>
      <c r="X8" s="37"/>
      <c r="Y8" s="37">
        <v>1</v>
      </c>
      <c r="Z8" s="37"/>
      <c r="AA8" s="37">
        <v>1</v>
      </c>
      <c r="AB8" s="37"/>
      <c r="AC8" s="37"/>
      <c r="AD8" s="37">
        <v>2</v>
      </c>
      <c r="AE8" s="37"/>
      <c r="AF8" s="37">
        <v>2</v>
      </c>
      <c r="AG8" s="37">
        <v>1</v>
      </c>
      <c r="AH8" s="37">
        <v>1</v>
      </c>
      <c r="AI8" s="37">
        <v>2</v>
      </c>
      <c r="AJ8" s="37"/>
      <c r="AK8" s="37"/>
      <c r="AL8" s="37">
        <v>1</v>
      </c>
      <c r="AM8" s="37">
        <v>1</v>
      </c>
      <c r="AN8" s="37"/>
      <c r="AO8" s="37"/>
      <c r="AP8" s="37">
        <v>1</v>
      </c>
      <c r="AQ8" s="5">
        <f>SUM(C8:AP8)</f>
        <v>29</v>
      </c>
    </row>
    <row r="9" spans="2:43" ht="5.25" customHeight="1" x14ac:dyDescent="0.3">
      <c r="B9" s="4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58"/>
    </row>
    <row r="10" spans="2:43" x14ac:dyDescent="0.3">
      <c r="B10" s="35" t="s">
        <v>43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4">
        <f>SUM(C10:AP10)</f>
        <v>40</v>
      </c>
    </row>
    <row r="11" spans="2:43" x14ac:dyDescent="0.3">
      <c r="B11" s="41" t="s">
        <v>67</v>
      </c>
      <c r="C11" s="1"/>
      <c r="D11" s="1"/>
      <c r="E11" s="1"/>
      <c r="F11" s="1"/>
      <c r="G11" s="1"/>
      <c r="H11" s="1"/>
      <c r="I11" s="37">
        <v>2</v>
      </c>
      <c r="J11" s="37"/>
      <c r="K11" s="37"/>
      <c r="L11" s="37">
        <v>1</v>
      </c>
      <c r="M11" s="37"/>
      <c r="N11" s="37"/>
      <c r="O11" s="37"/>
      <c r="P11" s="37"/>
      <c r="Q11" s="37">
        <v>1</v>
      </c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>
        <v>1</v>
      </c>
      <c r="AJ11" s="37"/>
      <c r="AK11" s="37"/>
      <c r="AL11" s="37"/>
      <c r="AM11" s="37"/>
      <c r="AN11" s="37"/>
      <c r="AO11" s="37">
        <v>1</v>
      </c>
      <c r="AP11" s="37"/>
      <c r="AQ11" s="5">
        <f>SUM(C11:AP11)</f>
        <v>6</v>
      </c>
    </row>
    <row r="12" spans="2:43" ht="5.25" customHeight="1" x14ac:dyDescent="0.3">
      <c r="B12" s="4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58"/>
    </row>
    <row r="13" spans="2:43" x14ac:dyDescent="0.3">
      <c r="B13" s="35" t="s">
        <v>44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4">
        <f>SUM(C13:AP13)</f>
        <v>40</v>
      </c>
    </row>
    <row r="14" spans="2:43" x14ac:dyDescent="0.3">
      <c r="B14" s="41" t="s">
        <v>68</v>
      </c>
      <c r="C14" s="1"/>
      <c r="D14" s="1"/>
      <c r="E14" s="1"/>
      <c r="F14" s="1"/>
      <c r="G14" s="1"/>
      <c r="H14" s="1"/>
      <c r="I14" s="1"/>
      <c r="J14" s="1"/>
      <c r="K14" s="1"/>
      <c r="L14" s="37">
        <v>2</v>
      </c>
      <c r="M14" s="37"/>
      <c r="N14" s="37"/>
      <c r="O14" s="37">
        <v>1</v>
      </c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>
        <v>1</v>
      </c>
      <c r="AM14" s="37">
        <v>2</v>
      </c>
      <c r="AN14" s="37"/>
      <c r="AO14" s="37"/>
      <c r="AP14" s="37">
        <v>1</v>
      </c>
      <c r="AQ14" s="5">
        <f>SUM(C14:AP14)</f>
        <v>7</v>
      </c>
    </row>
    <row r="15" spans="2:43" ht="5.25" customHeight="1" x14ac:dyDescent="0.3">
      <c r="B15" s="4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58"/>
    </row>
    <row r="16" spans="2:43" x14ac:dyDescent="0.3">
      <c r="B16" s="35" t="s">
        <v>45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4">
        <f>SUM(C16:AP16)</f>
        <v>40</v>
      </c>
    </row>
    <row r="17" spans="2:43" x14ac:dyDescent="0.3">
      <c r="B17" s="41" t="s">
        <v>69</v>
      </c>
      <c r="C17" s="1"/>
      <c r="D17" s="1"/>
      <c r="E17" s="37">
        <v>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>
        <v>1</v>
      </c>
      <c r="AM17" s="1"/>
      <c r="AN17" s="1"/>
      <c r="AO17" s="1"/>
      <c r="AP17" s="1"/>
      <c r="AQ17" s="5">
        <f>SUM(C17:AP17)</f>
        <v>6</v>
      </c>
    </row>
    <row r="18" spans="2:43" ht="5.25" customHeight="1" x14ac:dyDescent="0.3">
      <c r="B18" s="4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58"/>
    </row>
    <row r="19" spans="2:43" x14ac:dyDescent="0.3">
      <c r="B19" s="35" t="s">
        <v>76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4">
        <f>SUM(C19:AP19)</f>
        <v>40</v>
      </c>
    </row>
    <row r="20" spans="2:43" x14ac:dyDescent="0.3">
      <c r="B20" s="41" t="s">
        <v>77</v>
      </c>
      <c r="C20" s="1"/>
      <c r="D20" s="1"/>
      <c r="E20" s="1"/>
      <c r="F20" s="1"/>
      <c r="G20" s="1"/>
      <c r="H20" s="37">
        <v>2</v>
      </c>
      <c r="I20" s="37"/>
      <c r="J20" s="37"/>
      <c r="K20" s="37"/>
      <c r="L20" s="37">
        <v>1</v>
      </c>
      <c r="M20" s="37">
        <v>1</v>
      </c>
      <c r="N20" s="37"/>
      <c r="O20" s="37">
        <v>2</v>
      </c>
      <c r="P20" s="37"/>
      <c r="Q20" s="37"/>
      <c r="R20" s="37"/>
      <c r="S20" s="37"/>
      <c r="T20" s="37">
        <v>1</v>
      </c>
      <c r="U20" s="37">
        <v>1</v>
      </c>
      <c r="V20" s="37"/>
      <c r="W20" s="37">
        <v>1</v>
      </c>
      <c r="X20" s="37">
        <v>1</v>
      </c>
      <c r="Y20" s="37">
        <v>1</v>
      </c>
      <c r="Z20" s="37"/>
      <c r="AA20" s="37">
        <v>1</v>
      </c>
      <c r="AB20" s="37"/>
      <c r="AC20" s="37"/>
      <c r="AD20" s="37"/>
      <c r="AE20" s="37"/>
      <c r="AF20" s="37">
        <v>2</v>
      </c>
      <c r="AG20" s="37"/>
      <c r="AH20" s="37">
        <v>1</v>
      </c>
      <c r="AI20" s="37"/>
      <c r="AJ20" s="37"/>
      <c r="AK20" s="37"/>
      <c r="AL20" s="37">
        <v>1</v>
      </c>
      <c r="AM20" s="37"/>
      <c r="AN20" s="37"/>
      <c r="AO20" s="37"/>
      <c r="AP20" s="37"/>
      <c r="AQ20" s="5">
        <f>SUM(C20:AP20)</f>
        <v>16</v>
      </c>
    </row>
    <row r="21" spans="2:43" ht="5.25" customHeight="1" x14ac:dyDescent="0.3">
      <c r="B21" s="4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58"/>
    </row>
    <row r="22" spans="2:43" x14ac:dyDescent="0.3">
      <c r="B22" s="35" t="s">
        <v>41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4">
        <f>SUM(C22:AP22)</f>
        <v>40</v>
      </c>
    </row>
    <row r="23" spans="2:43" x14ac:dyDescent="0.3">
      <c r="B23" s="35" t="s">
        <v>6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4">
        <f>SUM(C23:AP23)</f>
        <v>40</v>
      </c>
    </row>
    <row r="24" spans="2:43" x14ac:dyDescent="0.3">
      <c r="B24" s="35" t="s">
        <v>37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4">
        <f>SUM(C24:AP24)</f>
        <v>40</v>
      </c>
    </row>
    <row r="25" spans="2:43" x14ac:dyDescent="0.3">
      <c r="B25" s="35" t="s">
        <v>38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4">
        <f t="shared" ref="AQ25:AQ29" si="0">SUM(C25:AP25)</f>
        <v>40</v>
      </c>
    </row>
    <row r="26" spans="2:43" x14ac:dyDescent="0.3">
      <c r="B26" s="35" t="s">
        <v>14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4">
        <f t="shared" si="0"/>
        <v>40</v>
      </c>
    </row>
    <row r="27" spans="2:43" x14ac:dyDescent="0.3">
      <c r="B27" s="35" t="s">
        <v>42</v>
      </c>
      <c r="C27" s="1"/>
      <c r="D27" s="11"/>
      <c r="E27" s="11"/>
      <c r="F27" s="11">
        <v>0</v>
      </c>
      <c r="G27" s="11"/>
      <c r="H27" s="11"/>
      <c r="I27" s="11"/>
      <c r="J27" s="11"/>
      <c r="K27" s="11"/>
      <c r="L27" s="11"/>
      <c r="M27" s="11"/>
      <c r="N27" s="11">
        <v>15</v>
      </c>
      <c r="O27" s="11">
        <v>15</v>
      </c>
      <c r="P27" s="11">
        <v>13</v>
      </c>
      <c r="Q27" s="11">
        <v>7</v>
      </c>
      <c r="R27" s="11">
        <v>16</v>
      </c>
      <c r="S27" s="11">
        <v>12</v>
      </c>
      <c r="T27" s="11">
        <v>15</v>
      </c>
      <c r="U27" s="11">
        <v>11</v>
      </c>
      <c r="V27" s="11">
        <v>12</v>
      </c>
      <c r="W27" s="11">
        <v>10</v>
      </c>
      <c r="X27" s="11">
        <v>1</v>
      </c>
      <c r="Y27" s="11">
        <v>20</v>
      </c>
      <c r="Z27" s="11">
        <v>19</v>
      </c>
      <c r="AA27" s="11">
        <v>25</v>
      </c>
      <c r="AB27" s="11">
        <v>10</v>
      </c>
      <c r="AC27" s="11">
        <v>13</v>
      </c>
      <c r="AD27" s="11">
        <v>24</v>
      </c>
      <c r="AE27" s="11">
        <v>10</v>
      </c>
      <c r="AF27" s="11">
        <v>22</v>
      </c>
      <c r="AG27" s="11">
        <v>11</v>
      </c>
      <c r="AH27" s="11">
        <v>9</v>
      </c>
      <c r="AI27" s="11">
        <v>21</v>
      </c>
      <c r="AJ27" s="11">
        <v>19</v>
      </c>
      <c r="AK27" s="11">
        <v>14</v>
      </c>
      <c r="AL27" s="11">
        <v>5</v>
      </c>
      <c r="AM27" s="11">
        <v>7</v>
      </c>
      <c r="AN27" s="11">
        <v>9</v>
      </c>
      <c r="AO27" s="11">
        <v>6</v>
      </c>
      <c r="AP27" s="3">
        <v>4</v>
      </c>
      <c r="AQ27" s="4">
        <f t="shared" si="0"/>
        <v>375</v>
      </c>
    </row>
    <row r="28" spans="2:43" x14ac:dyDescent="0.3">
      <c r="B28" s="35" t="s">
        <v>18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4">
        <f>SUM(C28:AP28)</f>
        <v>40</v>
      </c>
    </row>
    <row r="29" spans="2:43" x14ac:dyDescent="0.3">
      <c r="B29" s="35" t="s">
        <v>10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4">
        <f t="shared" si="0"/>
        <v>40</v>
      </c>
    </row>
    <row r="30" spans="2:43" ht="15" thickBot="1" x14ac:dyDescent="0.35">
      <c r="AQ30" s="59"/>
    </row>
    <row r="31" spans="2:43" ht="19.2" thickTop="1" thickBot="1" x14ac:dyDescent="0.35">
      <c r="B31" s="44" t="s">
        <v>95</v>
      </c>
      <c r="C31" s="45">
        <f>SUM(C17,C14,C11,C8)</f>
        <v>0</v>
      </c>
      <c r="D31" s="45">
        <f t="shared" ref="D31:U31" si="1">SUM(D17,D14,D11,D8)</f>
        <v>0</v>
      </c>
      <c r="E31" s="45">
        <f t="shared" si="1"/>
        <v>5</v>
      </c>
      <c r="F31" s="45">
        <f t="shared" si="1"/>
        <v>1</v>
      </c>
      <c r="G31" s="45">
        <f t="shared" si="1"/>
        <v>4</v>
      </c>
      <c r="H31" s="45">
        <f t="shared" si="1"/>
        <v>0</v>
      </c>
      <c r="I31" s="45">
        <f t="shared" si="1"/>
        <v>4</v>
      </c>
      <c r="J31" s="45">
        <f t="shared" si="1"/>
        <v>2</v>
      </c>
      <c r="K31" s="45">
        <f t="shared" si="1"/>
        <v>1</v>
      </c>
      <c r="L31" s="45">
        <f t="shared" si="1"/>
        <v>3</v>
      </c>
      <c r="M31" s="45">
        <f t="shared" si="1"/>
        <v>0</v>
      </c>
      <c r="N31" s="45">
        <f t="shared" si="1"/>
        <v>1</v>
      </c>
      <c r="O31" s="45">
        <f t="shared" si="1"/>
        <v>1</v>
      </c>
      <c r="P31" s="45">
        <f t="shared" si="1"/>
        <v>1</v>
      </c>
      <c r="Q31" s="50">
        <f t="shared" si="1"/>
        <v>2</v>
      </c>
      <c r="R31" s="46">
        <f t="shared" si="1"/>
        <v>0</v>
      </c>
      <c r="S31" s="46">
        <f t="shared" si="1"/>
        <v>1</v>
      </c>
      <c r="T31" s="46">
        <f t="shared" si="1"/>
        <v>0</v>
      </c>
      <c r="U31" s="46">
        <f t="shared" si="1"/>
        <v>0</v>
      </c>
      <c r="V31" s="46">
        <f t="shared" ref="V31" si="2">SUM(V17,V14,V11,V8)</f>
        <v>1</v>
      </c>
      <c r="W31" s="46">
        <f t="shared" ref="W31" si="3">SUM(W17,W14,W11,W8)</f>
        <v>1</v>
      </c>
      <c r="X31" s="46">
        <f t="shared" ref="X31:Y31" si="4">SUM(X17,X14,X11,X8)</f>
        <v>0</v>
      </c>
      <c r="Y31" s="46">
        <f t="shared" si="4"/>
        <v>1</v>
      </c>
      <c r="Z31" s="46">
        <f t="shared" ref="Z31:AA31" si="5">SUM(Z17,Z14,Z11,Z8)</f>
        <v>0</v>
      </c>
      <c r="AA31" s="46">
        <f t="shared" si="5"/>
        <v>1</v>
      </c>
      <c r="AB31" s="46">
        <f t="shared" ref="AB31" si="6">SUM(AB17,AB14,AB11,AB8)</f>
        <v>0</v>
      </c>
      <c r="AC31" s="46">
        <f t="shared" ref="AC31" si="7">SUM(AC17,AC14,AC11,AC8)</f>
        <v>0</v>
      </c>
      <c r="AD31" s="46">
        <f t="shared" ref="AD31" si="8">SUM(AD17,AD14,AD11,AD8)</f>
        <v>2</v>
      </c>
      <c r="AE31" s="46">
        <f t="shared" ref="AE31" si="9">SUM(AE17,AE14,AE11,AE8)</f>
        <v>0</v>
      </c>
      <c r="AF31" s="46">
        <f t="shared" ref="AF31" si="10">SUM(AF17,AF14,AF11,AF8)</f>
        <v>2</v>
      </c>
      <c r="AG31" s="46">
        <f t="shared" ref="AG31" si="11">SUM(AG17,AG14,AG11,AG8)</f>
        <v>1</v>
      </c>
      <c r="AH31" s="46">
        <f t="shared" ref="AH31" si="12">SUM(AH17,AH14,AH11,AH8)</f>
        <v>1</v>
      </c>
      <c r="AI31" s="46">
        <f t="shared" ref="AI31" si="13">SUM(AI17,AI14,AI11,AI8)</f>
        <v>3</v>
      </c>
      <c r="AJ31" s="46">
        <f t="shared" ref="AJ31" si="14">SUM(AJ17,AJ14,AJ11,AJ8)</f>
        <v>0</v>
      </c>
      <c r="AK31" s="46">
        <f t="shared" ref="AK31" si="15">SUM(AK17,AK14,AK11,AK8)</f>
        <v>0</v>
      </c>
      <c r="AL31" s="46">
        <f t="shared" ref="AL31" si="16">SUM(AL17,AL14,AL11,AL8)</f>
        <v>3</v>
      </c>
      <c r="AM31" s="46">
        <f t="shared" ref="AM31" si="17">SUM(AM17,AM14,AM11,AM8)</f>
        <v>3</v>
      </c>
      <c r="AN31" s="46">
        <f t="shared" ref="AN31" si="18">SUM(AN17,AN14,AN11,AN8)</f>
        <v>0</v>
      </c>
      <c r="AO31" s="46">
        <f>SUM(AO17,AO14,AO11,AO8)</f>
        <v>1</v>
      </c>
      <c r="AP31" s="46">
        <f>SUM(AP17,AP14,AP11,AP8)</f>
        <v>2</v>
      </c>
      <c r="AQ31" s="60">
        <f>SUM(C31:AP31)</f>
        <v>48</v>
      </c>
    </row>
    <row r="32" spans="2:43" ht="19.2" thickTop="1" thickBot="1" x14ac:dyDescent="0.35">
      <c r="B32" s="47" t="s">
        <v>96</v>
      </c>
      <c r="C32" s="48">
        <f>C20</f>
        <v>0</v>
      </c>
      <c r="D32" s="48">
        <f t="shared" ref="D32:U32" si="19">D20</f>
        <v>0</v>
      </c>
      <c r="E32" s="48">
        <f t="shared" si="19"/>
        <v>0</v>
      </c>
      <c r="F32" s="48">
        <f t="shared" si="19"/>
        <v>0</v>
      </c>
      <c r="G32" s="48">
        <f t="shared" si="19"/>
        <v>0</v>
      </c>
      <c r="H32" s="48">
        <f t="shared" si="19"/>
        <v>2</v>
      </c>
      <c r="I32" s="48">
        <f t="shared" si="19"/>
        <v>0</v>
      </c>
      <c r="J32" s="48">
        <f t="shared" si="19"/>
        <v>0</v>
      </c>
      <c r="K32" s="48">
        <f t="shared" si="19"/>
        <v>0</v>
      </c>
      <c r="L32" s="48">
        <f t="shared" si="19"/>
        <v>1</v>
      </c>
      <c r="M32" s="48">
        <f t="shared" si="19"/>
        <v>1</v>
      </c>
      <c r="N32" s="48">
        <f t="shared" si="19"/>
        <v>0</v>
      </c>
      <c r="O32" s="48">
        <f t="shared" si="19"/>
        <v>2</v>
      </c>
      <c r="P32" s="48">
        <f t="shared" si="19"/>
        <v>0</v>
      </c>
      <c r="Q32" s="51">
        <f t="shared" si="19"/>
        <v>0</v>
      </c>
      <c r="R32" s="49">
        <f t="shared" si="19"/>
        <v>0</v>
      </c>
      <c r="S32" s="49">
        <f t="shared" si="19"/>
        <v>0</v>
      </c>
      <c r="T32" s="49">
        <f t="shared" si="19"/>
        <v>1</v>
      </c>
      <c r="U32" s="49">
        <f t="shared" si="19"/>
        <v>1</v>
      </c>
      <c r="V32" s="49">
        <f t="shared" ref="V32" si="20">V20</f>
        <v>0</v>
      </c>
      <c r="W32" s="49">
        <f t="shared" ref="W32" si="21">W20</f>
        <v>1</v>
      </c>
      <c r="X32" s="49">
        <f t="shared" ref="X32:Y32" si="22">X20</f>
        <v>1</v>
      </c>
      <c r="Y32" s="49">
        <f t="shared" si="22"/>
        <v>1</v>
      </c>
      <c r="Z32" s="49">
        <f t="shared" ref="Z32" si="23">Z20</f>
        <v>0</v>
      </c>
      <c r="AA32" s="49">
        <f t="shared" ref="AA32" si="24">AA20</f>
        <v>1</v>
      </c>
      <c r="AB32" s="49">
        <f t="shared" ref="AB32" si="25">AB20</f>
        <v>0</v>
      </c>
      <c r="AC32" s="49">
        <f t="shared" ref="AC32" si="26">AC20</f>
        <v>0</v>
      </c>
      <c r="AD32" s="49">
        <f t="shared" ref="AD32" si="27">AD20</f>
        <v>0</v>
      </c>
      <c r="AE32" s="49">
        <f t="shared" ref="AE32" si="28">AE20</f>
        <v>0</v>
      </c>
      <c r="AF32" s="49">
        <f t="shared" ref="AF32" si="29">AF20</f>
        <v>2</v>
      </c>
      <c r="AG32" s="49">
        <f t="shared" ref="AG32" si="30">AG20</f>
        <v>0</v>
      </c>
      <c r="AH32" s="49">
        <f t="shared" ref="AH32" si="31">AH20</f>
        <v>1</v>
      </c>
      <c r="AI32" s="49">
        <f t="shared" ref="AI32" si="32">AI20</f>
        <v>0</v>
      </c>
      <c r="AJ32" s="49">
        <f t="shared" ref="AJ32" si="33">AJ20</f>
        <v>0</v>
      </c>
      <c r="AK32" s="49">
        <f t="shared" ref="AK32" si="34">AK20</f>
        <v>0</v>
      </c>
      <c r="AL32" s="49">
        <f t="shared" ref="AL32" si="35">AL20</f>
        <v>1</v>
      </c>
      <c r="AM32" s="49">
        <f t="shared" ref="AM32" si="36">AM20</f>
        <v>0</v>
      </c>
      <c r="AN32" s="49">
        <f t="shared" ref="AN32" si="37">AN20</f>
        <v>0</v>
      </c>
      <c r="AO32" s="49">
        <f t="shared" ref="AO32" si="38">AO20</f>
        <v>0</v>
      </c>
      <c r="AP32" s="49">
        <f>AP20</f>
        <v>0</v>
      </c>
      <c r="AQ32" s="60">
        <f>SUM(C32:AP32)</f>
        <v>16</v>
      </c>
    </row>
    <row r="33" ht="15" thickTop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 Conversion Data</vt:lpstr>
      <vt:lpstr>Event Detail</vt:lpstr>
      <vt:lpstr>Free Checkup Summary</vt:lpstr>
      <vt:lpstr>Event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Salman Khan</dc:creator>
  <cp:lastModifiedBy>Yasir Butt</cp:lastModifiedBy>
  <cp:lastPrinted>2024-05-07T04:50:46Z</cp:lastPrinted>
  <dcterms:created xsi:type="dcterms:W3CDTF">2023-11-08T05:48:28Z</dcterms:created>
  <dcterms:modified xsi:type="dcterms:W3CDTF">2026-10-23T11:16:08Z</dcterms:modified>
</cp:coreProperties>
</file>